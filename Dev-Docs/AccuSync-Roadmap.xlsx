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ilestone" sheetId="2" state="visible" r:id="rId2"/>
    <sheet xmlns:r="http://schemas.openxmlformats.org/officeDocument/2006/relationships" name="Epics" sheetId="3" state="visible" r:id="rId3"/>
    <sheet xmlns:r="http://schemas.openxmlformats.org/officeDocument/2006/relationships" name="Features" sheetId="4" state="visible" r:id="rId4"/>
    <sheet xmlns:r="http://schemas.openxmlformats.org/officeDocument/2006/relationships" name="Task Breakdown" sheetId="5" state="visible" r:id="rId5"/>
  </sheets>
  <definedNames>
    <definedName name="_xlnm._FilterDatabase" localSheetId="2" hidden="1">'Epics'!$A$1:$L$26</definedName>
    <definedName name="_xlnm._FilterDatabase" localSheetId="3" hidden="1">'Features'!$A$1:$P$68</definedName>
    <definedName name="_xlnm._FilterDatabase" localSheetId="4" hidden="1">'Task Breakdown'!$A$1:$K$538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FF1C2C38"/>
      <sz val="16"/>
    </font>
    <font>
      <b val="1"/>
      <color rgb="FF1C2C38"/>
      <sz val="12"/>
    </font>
    <font>
      <b val="1"/>
    </font>
    <font>
      <b val="1"/>
      <color rgb="FFFFFFFF"/>
      <sz val="11"/>
    </font>
    <font>
      <b val="1"/>
      <sz val="11"/>
    </font>
  </fonts>
  <fills count="4">
    <fill>
      <patternFill/>
    </fill>
    <fill>
      <patternFill patternType="gray125"/>
    </fill>
    <fill>
      <patternFill patternType="solid">
        <fgColor rgb="FF1C2C38"/>
      </patternFill>
    </fill>
    <fill>
      <patternFill patternType="solid">
        <fgColor rgb="FFE8EDF1"/>
      </patternFill>
    </fill>
  </fills>
  <borders count="5">
    <border>
      <left/>
      <right/>
      <top/>
      <bottom/>
      <diagonal/>
    </border>
    <border>
      <left style="thin">
        <color rgb="FFD0D6DC"/>
      </left>
      <right style="thin">
        <color rgb="FFD0D6DC"/>
      </right>
      <top style="thin">
        <color rgb="FFD0D6DC"/>
      </top>
      <bottom style="thin">
        <color rgb="FFD0D6DC"/>
      </bottom>
    </border>
    <border>
      <left style="thin">
        <color rgb="FFD0D6DC"/>
      </left>
      <right/>
      <top/>
      <bottom/>
      <diagonal/>
    </border>
    <border>
      <left style="thin">
        <color rgb="FFD0D6DC"/>
      </left>
      <right style="thin">
        <color rgb="FFD0D6DC"/>
      </right>
      <top/>
      <bottom/>
      <diagonal/>
    </border>
    <border>
      <left style="thin">
        <color rgb="FFD0D6DC"/>
      </left>
      <right style="thin">
        <color rgb="FFD0D6DC"/>
      </right>
      <top/>
      <bottom style="thin">
        <color rgb="FFD0D6DC"/>
      </bottom>
      <diagonal/>
    </border>
  </borders>
  <cellStyleXfs count="1">
    <xf numFmtId="0" fontId="0" fillId="0" borderId="0"/>
  </cellStyleXfs>
  <cellXfs count="2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xf numFmtId="0" fontId="2" fillId="0" borderId="0" pivotButton="0" quotePrefix="0" xfId="0"/>
    <xf numFmtId="0" fontId="4" fillId="2" borderId="0" applyAlignment="1" pivotButton="0" quotePrefix="0" xfId="0">
      <alignment vertical="center" wrapText="1"/>
    </xf>
    <xf numFmtId="0" fontId="3" fillId="0" borderId="1" applyAlignment="1" pivotButton="0" quotePrefix="0" xfId="0">
      <alignment vertical="top"/>
    </xf>
    <xf numFmtId="0" fontId="0" fillId="0" borderId="1" applyAlignment="1" pivotButton="0" quotePrefix="0" xfId="0">
      <alignment vertical="top" wrapText="1"/>
    </xf>
    <xf numFmtId="2" fontId="0" fillId="0" borderId="1" applyAlignment="1" pivotButton="0" quotePrefix="0" xfId="0">
      <alignment horizontal="center" vertical="top"/>
    </xf>
    <xf numFmtId="0" fontId="0" fillId="3" borderId="1" pivotButton="0" quotePrefix="0" xfId="0"/>
    <xf numFmtId="0" fontId="3" fillId="3" borderId="1" pivotButton="0" quotePrefix="0" xfId="0"/>
    <xf numFmtId="2" fontId="3" fillId="3" borderId="1" applyAlignment="1" pivotButton="0" quotePrefix="0" xfId="0">
      <alignment horizontal="center"/>
    </xf>
    <xf numFmtId="0" fontId="0" fillId="0" borderId="1" applyAlignment="1" pivotButton="0" quotePrefix="0" xfId="0">
      <alignment vertical="top"/>
    </xf>
    <xf numFmtId="0" fontId="5" fillId="3" borderId="1" pivotButton="0" quotePrefix="0" xfId="0"/>
    <xf numFmtId="2" fontId="5" fillId="3" borderId="1" applyAlignment="1" pivotButton="0" quotePrefix="0" xfId="0">
      <alignment horizontal="center"/>
    </xf>
    <xf numFmtId="0" fontId="0" fillId="0" borderId="1" applyAlignment="1" pivotButton="0" quotePrefix="0" xfId="0">
      <alignment vertical="center"/>
    </xf>
    <xf numFmtId="0" fontId="0" fillId="0" borderId="1" applyAlignment="1" pivotButton="0" quotePrefix="0" xfId="0">
      <alignment vertical="center" wrapText="1"/>
    </xf>
    <xf numFmtId="1" fontId="0" fillId="0" borderId="1" applyAlignment="1" pivotButton="0" quotePrefix="0" xfId="0">
      <alignment horizontal="center" vertical="center"/>
    </xf>
    <xf numFmtId="2" fontId="0" fillId="0" borderId="1" applyAlignment="1" pivotButton="0" quotePrefix="0" xfId="0">
      <alignment horizontal="center" vertical="center"/>
    </xf>
    <xf numFmtId="0" fontId="0" fillId="0" borderId="4" pivotButton="0" quotePrefix="0" xfId="0"/>
    <xf numFmtId="0" fontId="0" fillId="0" borderId="3" pivotButton="0" quotePrefix="0" xfId="0"/>
    <xf numFmtId="1" fontId="5" fillId="3" borderId="1" applyAlignment="1" pivotButton="0" quotePrefix="0" xfId="0">
      <alignment horizontal="center"/>
    </xf>
  </cellXfs>
  <cellStyles count="1">
    <cellStyle name="Normal" xfId="0" builtinId="0" hidden="0"/>
  </cellStyles>
  <dxfs count="5">
    <dxf>
      <font>
        <b val="1"/>
        <color rgb="FF842029"/>
      </font>
      <fill>
        <patternFill>
          <bgColor rgb="FFF8D7DA"/>
        </patternFill>
      </fill>
    </dxf>
    <dxf>
      <font>
        <b val="1"/>
        <color rgb="FF664D03"/>
      </font>
      <fill>
        <patternFill>
          <bgColor rgb="FFFFF3CD"/>
        </patternFill>
      </fill>
    </dxf>
    <dxf>
      <font>
        <b val="1"/>
        <color rgb="FF0F5132"/>
      </font>
      <fill>
        <patternFill>
          <bgColor rgb="FFD1E7DD"/>
        </patternFill>
      </fill>
    </dxf>
    <dxf>
      <font>
        <b val="1"/>
        <color rgb="FF084298"/>
      </font>
      <fill>
        <patternFill>
          <bgColor rgb="FFCFE2FF"/>
        </patternFill>
      </fill>
    </dxf>
    <dxf>
      <font>
        <b val="1"/>
        <color rgb="FF41464B"/>
      </font>
      <fill>
        <patternFill>
          <bgColor rgb="FFE9ECE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
  <sheetViews>
    <sheetView showGridLines="0" workbookViewId="0">
      <selection activeCell="A1" sqref="A1"/>
    </sheetView>
  </sheetViews>
  <sheetFormatPr baseColWidth="8" defaultRowHeight="15"/>
  <cols>
    <col width="30" customWidth="1" min="1" max="1"/>
    <col width="40" customWidth="1" min="2" max="2"/>
    <col width="12" customWidth="1" min="3" max="3"/>
    <col width="14" customWidth="1" min="4" max="4"/>
    <col width="60" customWidth="1" min="5" max="5"/>
    <col width="12" customWidth="1" min="6" max="6"/>
    <col width="12" customWidth="1" min="7" max="7"/>
    <col width="12" customWidth="1" min="8" max="8"/>
    <col width="12" customWidth="1" min="9" max="9"/>
    <col width="12" customWidth="1" min="10" max="10"/>
  </cols>
  <sheetData>
    <row r="1" ht="24" customHeight="1">
      <c r="A1" s="1" t="inlineStr">
        <is>
          <t>AccuSync - Delivery Roadmap</t>
        </is>
      </c>
    </row>
    <row r="2"/>
    <row r="3">
      <c r="A3" s="2" t="inlineStr">
        <is>
          <t>What this workbook is</t>
        </is>
      </c>
    </row>
    <row r="4" ht="44" customHeight="1">
      <c r="A4" s="3" t="inlineStr">
        <is>
          <t>A tracking view of the AccuSync delivery plan. Every requirement in DOC-076814 Rev 01 has been mapped to a feature, and every feature to an epic and a milestone. Use the Epics and Features sheets to record progress: the Impact and State columns are dropdowns.</t>
        </is>
      </c>
    </row>
    <row r="5"/>
    <row r="6">
      <c r="A6" s="2" t="inlineStr">
        <is>
          <t>The four sheets</t>
        </is>
      </c>
    </row>
    <row r="7">
      <c r="A7" s="4" t="inlineStr">
        <is>
          <t>README</t>
        </is>
      </c>
      <c r="B7" s="3" t="inlineStr">
        <is>
          <t>This sheet. What the workbook is, the headline numbers, and what each column means.</t>
        </is>
      </c>
    </row>
    <row r="8">
      <c r="A8" s="4" t="inlineStr">
        <is>
          <t>Milestone</t>
        </is>
      </c>
      <c r="B8" s="3" t="inlineStr">
        <is>
          <t>The eight milestones, their target dates, and what has to be true for each to be done.</t>
        </is>
      </c>
    </row>
    <row r="9">
      <c r="A9" s="4" t="inlineStr">
        <is>
          <t>Epics</t>
        </is>
      </c>
      <c r="B9" s="3" t="inlineStr">
        <is>
          <t>25 epics in delivery order. What workflow each covers, its impact, state, milestone and notes.</t>
        </is>
      </c>
    </row>
    <row r="10">
      <c r="A10" s="4" t="inlineStr">
        <is>
          <t>Features</t>
        </is>
      </c>
      <c r="B10" s="3" t="inlineStr">
        <is>
          <t>Features grouped under their epic, each with the exact requirement IDs it satisfies.</t>
        </is>
      </c>
    </row>
    <row r="11"/>
    <row r="12">
      <c r="A12" s="2" t="inlineStr">
        <is>
          <t>Headline numbers</t>
        </is>
      </c>
    </row>
    <row r="13">
      <c r="A13" s="4" t="inlineStr">
        <is>
          <t>Requirements in DOC-076814 Rev 01</t>
        </is>
      </c>
      <c r="C13" t="n">
        <v>196</v>
      </c>
    </row>
    <row r="14">
      <c r="A14" s="4" t="inlineStr">
        <is>
          <t>Milestones</t>
        </is>
      </c>
      <c r="C14" t="n">
        <v>8</v>
      </c>
    </row>
    <row r="15">
      <c r="A15" s="4" t="inlineStr">
        <is>
          <t>Epics</t>
        </is>
      </c>
      <c r="C15" t="n">
        <v>25</v>
      </c>
    </row>
    <row r="16">
      <c r="A16" s="4" t="inlineStr">
        <is>
          <t>Features</t>
        </is>
      </c>
      <c r="C16" t="n">
        <v>67</v>
      </c>
    </row>
    <row r="17"/>
    <row r="18">
      <c r="A18" s="2" t="inlineStr">
        <is>
          <t>How the work is structured</t>
        </is>
      </c>
    </row>
    <row r="19" ht="28" customHeight="1">
      <c r="A19" s="3" t="inlineStr">
        <is>
          <t>EPIC (a section of the requirement document)  -&gt;  FEATURE (one useful capability)  -&gt;  USER STORY (one piece of work, one pull request).</t>
        </is>
      </c>
    </row>
    <row r="20" ht="30" customHeight="1">
      <c r="A20" s="3" t="inlineStr">
        <is>
          <t>Tables and repositories are built inside the epic that needs them, not up front. The shared Add/Edit/Delete and Save/Revert/Undo framework is built once inside Patient Management and then adopted by each later epic.</t>
        </is>
      </c>
    </row>
    <row r="21"/>
    <row r="22">
      <c r="A22" s="2" t="inlineStr">
        <is>
          <t>Column meanings</t>
        </is>
      </c>
    </row>
    <row r="23" ht="15" customHeight="1">
      <c r="A23" s="4" t="inlineStr">
        <is>
          <t>Workflow</t>
        </is>
      </c>
      <c r="B23" s="3" t="inlineStr">
        <is>
          <t>What the user actually does, end to end, that this epic or feature covers.</t>
        </is>
      </c>
    </row>
    <row r="24" ht="28" customHeight="1">
      <c r="A24" s="4" t="inlineStr">
        <is>
          <t>Requirement IDs</t>
        </is>
      </c>
      <c r="B24" s="3" t="inlineStr">
        <is>
          <t>The exact GID numbers from DOC-076814 that it satisfies. "Enabler" means it supports the product without satisfying a requirement of its own.</t>
        </is>
      </c>
    </row>
    <row r="25" ht="28" customHeight="1">
      <c r="A25" s="4" t="inlineStr">
        <is>
          <t>Impact</t>
        </is>
      </c>
      <c r="B25" s="3" t="inlineStr">
        <is>
          <t>High = blocks other work, or core clinical function, or compliance. Medium = required, not blocking. Low = small, deferred, or waiting on an external answer.</t>
        </is>
      </c>
    </row>
    <row r="26" ht="15" customHeight="1">
      <c r="A26" s="4" t="inlineStr">
        <is>
          <t>State</t>
        </is>
      </c>
      <c r="B26" s="3" t="inlineStr">
        <is>
          <t>Yet to start / In progress / Complete. Dropdown.</t>
        </is>
      </c>
    </row>
    <row r="27" ht="15" customHeight="1">
      <c r="A27" s="4" t="inlineStr">
        <is>
          <t>Milestone</t>
        </is>
      </c>
      <c r="B27" s="3" t="inlineStr">
        <is>
          <t>Which milestone this lands in. See the Milestone sheet.</t>
        </is>
      </c>
    </row>
    <row r="28" ht="15" customHeight="1">
      <c r="A28" s="4" t="inlineStr">
        <is>
          <t>Target date</t>
        </is>
      </c>
      <c r="B28" s="3" t="inlineStr">
        <is>
          <t>The milestone date.</t>
        </is>
      </c>
    </row>
    <row r="29" ht="15" customHeight="1">
      <c r="A29" s="4" t="inlineStr">
        <is>
          <t>Builds tables</t>
        </is>
      </c>
      <c r="B29" s="3" t="inlineStr">
        <is>
          <t>Yes means this feature creates database tables. Tables are built inside the epic that needs them.</t>
        </is>
      </c>
    </row>
  </sheetData>
  <mergeCells count="20">
    <mergeCell ref="A22:J22"/>
    <mergeCell ref="B23:J23"/>
    <mergeCell ref="A4:J4"/>
    <mergeCell ref="B8:J8"/>
    <mergeCell ref="A20:J20"/>
    <mergeCell ref="A19:J19"/>
    <mergeCell ref="B29:J29"/>
    <mergeCell ref="B10:J10"/>
    <mergeCell ref="B28:J28"/>
    <mergeCell ref="B9:J9"/>
    <mergeCell ref="B24:J24"/>
    <mergeCell ref="A1:J1"/>
    <mergeCell ref="A6:J6"/>
    <mergeCell ref="B26:J26"/>
    <mergeCell ref="B7:J7"/>
    <mergeCell ref="B25:J25"/>
    <mergeCell ref="A18:J18"/>
    <mergeCell ref="A3:J3"/>
    <mergeCell ref="A12:J12"/>
    <mergeCell ref="B27:J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showGridLines="0" workbookViewId="0">
      <selection activeCell="A1" sqref="A1"/>
    </sheetView>
  </sheetViews>
  <sheetFormatPr baseColWidth="8" defaultRowHeight="15"/>
  <cols>
    <col width="12" customWidth="1" min="1" max="1"/>
    <col width="40" customWidth="1" min="2" max="2"/>
    <col width="12" customWidth="1" min="3" max="3"/>
    <col width="11" customWidth="1" min="4" max="4"/>
    <col width="120" customWidth="1" min="5" max="5"/>
  </cols>
  <sheetData>
    <row r="1">
      <c r="A1" s="5" t="inlineStr">
        <is>
          <t>Milestones</t>
        </is>
      </c>
    </row>
    <row r="2"/>
    <row r="3" ht="30" customHeight="1">
      <c r="A3" s="6" t="inlineStr">
        <is>
          <t>Milestone</t>
        </is>
      </c>
      <c r="B3" s="6" t="inlineStr">
        <is>
          <t>Name</t>
        </is>
      </c>
      <c r="C3" s="6" t="inlineStr">
        <is>
          <t>Total hours</t>
        </is>
      </c>
      <c r="D3" s="6" t="inlineStr">
        <is>
          <t>Total days</t>
        </is>
      </c>
      <c r="E3" s="6" t="inlineStr">
        <is>
          <t>Exit criterion - it is done when</t>
        </is>
      </c>
    </row>
    <row r="4" ht="46" customHeight="1">
      <c r="A4" s="7" t="inlineStr">
        <is>
          <t>M1</t>
        </is>
      </c>
      <c r="B4" s="8" t="inlineStr">
        <is>
          <t>Solid ground / Patient records exist / The patient list is usable</t>
        </is>
      </c>
      <c r="C4" s="9">
        <f>SUMIFS('Task Breakdown'!$J:$J,'Task Breakdown'!$N:$N,$A4)</f>
        <v/>
      </c>
      <c r="D4" s="9">
        <f>C4/8</f>
        <v/>
      </c>
      <c r="E4" s="8" t="inlineStr">
        <is>
          <t>Builds from a fresh copy, login, logging,  a patient can be created, viewed, edited and soft-deleted and survives a restart, with the list, search and test list working</t>
        </is>
      </c>
    </row>
    <row r="5" ht="46" customHeight="1">
      <c r="A5" s="7" t="inlineStr">
        <is>
          <t>M2</t>
        </is>
      </c>
      <c r="B5" s="8" t="inlineStr">
        <is>
          <t>Patient configuration / Risk factors and comments</t>
        </is>
      </c>
      <c r="C5" s="9">
        <f>SUMIFS('Task Breakdown'!$J:$J,'Task Breakdown'!$N:$N,$A5)</f>
        <v/>
      </c>
      <c r="D5" s="9">
        <f>C5/8</f>
        <v/>
      </c>
      <c r="E5" s="8" t="inlineStr">
        <is>
          <t>An administrator can set mandatory and active fields, the patient ID format, list sorting, confirmation prompts and validation rules. Risk factors and comments are administrator-managed lists with translations, assignable to a patient. Patient report prints. Patient Management complete</t>
        </is>
      </c>
    </row>
    <row r="6" ht="46" customHeight="1">
      <c r="A6" s="7" t="inlineStr">
        <is>
          <t>M3</t>
        </is>
      </c>
      <c r="B6" s="8" t="inlineStr">
        <is>
          <t>Test results</t>
        </is>
      </c>
      <c r="C6" s="9">
        <f>SUMIFS('Task Breakdown'!$J:$J,'Task Breakdown'!$N:$N,$A6)</f>
        <v/>
      </c>
      <c r="D6" s="9">
        <f>C6/8</f>
        <v/>
      </c>
      <c r="E6" s="8" t="inlineStr">
        <is>
          <t>TEOAE, DPOAE and ABR results viewable with waveforms, demonstrated on real screening data loaded through the parsers that already work</t>
        </is>
      </c>
    </row>
    <row r="7" ht="46" customHeight="1">
      <c r="A7" s="7" t="inlineStr">
        <is>
          <t>M4</t>
        </is>
      </c>
      <c r="B7" s="8" t="inlineStr">
        <is>
          <t>Administration</t>
        </is>
      </c>
      <c r="C7" s="9">
        <f>SUMIFS('Task Breakdown'!$J:$J,'Task Breakdown'!$N:$N,$A7)</f>
        <v/>
      </c>
      <c r="D7" s="9">
        <f>C7/8</f>
        <v/>
      </c>
      <c r="E7" s="8" t="inlineStr">
        <is>
          <t>Users with working account creation and password rules, profiles with real permissions, devices, sites, facilities, locations, both protocol types</t>
        </is>
      </c>
    </row>
    <row r="8" ht="46" customHeight="1">
      <c r="A8" s="7" t="inlineStr">
        <is>
          <t>M5</t>
        </is>
      </c>
      <c r="B8" s="8" t="inlineStr">
        <is>
          <t>Data in and out</t>
        </is>
      </c>
      <c r="C8" s="9">
        <f>SUMIFS('Task Breakdown'!$J:$J,'Task Breakdown'!$N:$N,$A8)</f>
        <v/>
      </c>
      <c r="D8" s="9">
        <f>C8/8</f>
        <v/>
      </c>
      <c r="E8" s="8" t="inlineStr">
        <is>
          <t>All five import formats parse and save. All available export formats write to the right folders with the right file names</t>
        </is>
      </c>
    </row>
    <row r="9" ht="46" customHeight="1">
      <c r="A9" s="7" t="inlineStr">
        <is>
          <t>M6</t>
        </is>
      </c>
      <c r="B9" s="8" t="inlineStr">
        <is>
          <t>Reports and language</t>
        </is>
      </c>
      <c r="C9" s="9">
        <f>SUMIFS('Task Breakdown'!$J:$J,'Task Breakdown'!$N:$N,$A9)</f>
        <v/>
      </c>
      <c r="D9" s="9">
        <f>C9/8</f>
        <v/>
      </c>
      <c r="E9" s="8" t="inlineStr">
        <is>
          <t>Patient reports print and export. The application runs in the agreed languages</t>
        </is>
      </c>
    </row>
    <row r="10" ht="46" customHeight="1">
      <c r="A10" s="7" t="inlineStr">
        <is>
          <t>M7</t>
        </is>
      </c>
      <c r="B10" s="8" t="inlineStr">
        <is>
          <t>Integration</t>
        </is>
      </c>
      <c r="C10" s="9">
        <f>SUMIFS('Task Breakdown'!$J:$J,'Task Breakdown'!$N:$N,$A10)</f>
        <v/>
      </c>
      <c r="D10" s="9">
        <f>C10/8</f>
        <v/>
      </c>
      <c r="E10" s="8" t="inlineStr">
        <is>
          <t>S4H sync works against a test endpoint. Device connects over USB both ways. Firmware updates</t>
        </is>
      </c>
    </row>
    <row r="11" ht="46" customHeight="1">
      <c r="A11" s="7" t="inlineStr">
        <is>
          <t>M8</t>
        </is>
      </c>
      <c r="B11" s="8" t="inlineStr">
        <is>
          <t>Finish and ship</t>
        </is>
      </c>
      <c r="C11" s="9">
        <f>SUMIFS('Task Breakdown'!$J:$J,'Task Breakdown'!$N:$N,$A11)</f>
        <v/>
      </c>
      <c r="D11" s="9">
        <f>C11/8</f>
        <v/>
      </c>
      <c r="E11" s="8" t="inlineStr">
        <is>
          <t>Help available in the application, audit trail and logging in place, databases encrypted and verified, installer proven on clean Windows 11 Pro and Enterprise, and every one of the 196 requirements is either built and tested or formally out of scope</t>
        </is>
      </c>
    </row>
    <row r="12">
      <c r="A12" s="10" t="n"/>
      <c r="B12" s="11" t="inlineStr">
        <is>
          <t>TOTAL</t>
        </is>
      </c>
      <c r="C12" s="12">
        <f>SUM(C4:C11)</f>
        <v/>
      </c>
      <c r="D12" s="12">
        <f>SUM(D4:D11)</f>
        <v/>
      </c>
      <c r="E12" s="10"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7"/>
  <sheetViews>
    <sheetView workbookViewId="0">
      <pane ySplit="1" topLeftCell="A2" activePane="bottomLeft" state="frozen"/>
      <selection pane="bottomLeft" activeCell="A1" sqref="A1"/>
    </sheetView>
  </sheetViews>
  <sheetFormatPr baseColWidth="8" defaultRowHeight="15"/>
  <cols>
    <col width="4" customWidth="1" min="1" max="1"/>
    <col width="9" customWidth="1" min="2" max="2"/>
    <col width="10" customWidth="1" min="3" max="3"/>
    <col width="30" customWidth="1" min="4" max="4"/>
    <col width="68" customWidth="1" min="5" max="5"/>
    <col width="26" customWidth="1" min="6" max="6"/>
    <col width="10" customWidth="1" min="7" max="7"/>
    <col width="12" customWidth="1" min="8" max="8"/>
    <col width="11" customWidth="1" min="9" max="9"/>
    <col width="12" customWidth="1" min="10" max="10"/>
    <col width="11" customWidth="1" min="11" max="11"/>
    <col width="60" customWidth="1" min="12" max="12"/>
  </cols>
  <sheetData>
    <row r="1" ht="30" customHeight="1">
      <c r="A1" s="6" t="inlineStr">
        <is>
          <t>#</t>
        </is>
      </c>
      <c r="B1" s="6" t="inlineStr">
        <is>
          <t>Epic</t>
        </is>
      </c>
      <c r="C1" s="6" t="inlineStr">
        <is>
          <t>Jira</t>
        </is>
      </c>
      <c r="D1" s="6" t="inlineStr">
        <is>
          <t>Epic name</t>
        </is>
      </c>
      <c r="E1" s="6" t="inlineStr">
        <is>
          <t>Workflow this epic covers</t>
        </is>
      </c>
      <c r="F1" s="6" t="inlineStr">
        <is>
          <t>Requirement IDs</t>
        </is>
      </c>
      <c r="G1" s="6" t="inlineStr">
        <is>
          <t>Impact</t>
        </is>
      </c>
      <c r="H1" s="6" t="inlineStr">
        <is>
          <t>State</t>
        </is>
      </c>
      <c r="I1" s="6" t="inlineStr">
        <is>
          <t>Milestone</t>
        </is>
      </c>
      <c r="J1" s="6" t="inlineStr">
        <is>
          <t>Total hours</t>
        </is>
      </c>
      <c r="K1" s="6" t="inlineStr">
        <is>
          <t>Total days</t>
        </is>
      </c>
      <c r="L1" s="6" t="inlineStr">
        <is>
          <t>Notes</t>
        </is>
      </c>
    </row>
    <row r="2" ht="78" customHeight="1">
      <c r="A2" s="13" t="n">
        <v>1</v>
      </c>
      <c r="B2" s="13" t="inlineStr">
        <is>
          <t>Epic 0</t>
        </is>
      </c>
      <c r="C2" s="13" t="inlineStr">
        <is>
          <t>ASWD-77</t>
        </is>
      </c>
      <c r="D2" s="13" t="inlineStr">
        <is>
          <t>Revamp Code Base</t>
        </is>
      </c>
      <c r="E2" s="8" t="inlineStr">
        <is>
          <t>Developer and build workflow, plus the shared plumbing every later epic uses. Get a clean copy of the repository to build, then create the base classes, navigation services and the two databases that all other epics depend on.</t>
        </is>
      </c>
      <c r="F2" s="8" t="inlineStr">
        <is>
          <t>Enabler - no requirement</t>
        </is>
      </c>
      <c r="G2" s="13" t="inlineStr">
        <is>
          <t>High</t>
        </is>
      </c>
      <c r="H2" s="13" t="inlineStr">
        <is>
          <t>In progress</t>
        </is>
      </c>
      <c r="I2" s="13" t="inlineStr">
        <is>
          <t>M1</t>
        </is>
      </c>
      <c r="J2" s="9">
        <f>SUMIFS('Task Breakdown'!$J:$J,'Task Breakdown'!$L:$L,$C2)</f>
        <v/>
      </c>
      <c r="K2" s="9">
        <f>J2/8</f>
        <v/>
      </c>
      <c r="L2" s="8" t="inlineStr">
        <is>
          <t>Nothing else can be trusted until this lands. The solution currently fails to build from a fresh copy, and the three migrations run in the wrong order so a brand-new database cannot be created.</t>
        </is>
      </c>
    </row>
    <row r="3" ht="78" customHeight="1">
      <c r="A3" s="13" t="n">
        <v>2</v>
      </c>
      <c r="B3" s="13" t="inlineStr">
        <is>
          <t>Epic 1</t>
        </is>
      </c>
      <c r="C3" s="13" t="inlineStr">
        <is>
          <t>ASWD-1</t>
        </is>
      </c>
      <c r="D3" s="13" t="inlineStr">
        <is>
          <t>Login</t>
        </is>
      </c>
      <c r="E3" s="8" t="inlineStr">
        <is>
          <t>Sign in, sign out, and being locked out. A user enters a username and password, is refused if the account is deactivated or locked, and is locked after five failed attempts for an administrator-configurable period.</t>
        </is>
      </c>
      <c r="F3" s="8" t="inlineStr">
        <is>
          <t>GID-255015-255019, GID-255021</t>
        </is>
      </c>
      <c r="G3" s="13" t="inlineStr">
        <is>
          <t>Medium</t>
        </is>
      </c>
      <c r="H3" s="13" t="inlineStr">
        <is>
          <t>In progress</t>
        </is>
      </c>
      <c r="I3" s="13" t="inlineStr">
        <is>
          <t>M1</t>
        </is>
      </c>
      <c r="J3" s="9">
        <f>SUMIFS('Task Breakdown'!$J:$J,'Task Breakdown'!$L:$L,$C3)</f>
        <v/>
      </c>
      <c r="K3" s="9">
        <f>J3/8</f>
        <v/>
      </c>
      <c r="L3" s="8" t="inlineStr">
        <is>
          <t>Six of the eight requirements are already built and covered by 103 passing tests. Only closure and re-verification remain, because none of it is on main yet. The other two requirements moved to ASWD-7.</t>
        </is>
      </c>
    </row>
    <row r="4" ht="78" customHeight="1">
      <c r="A4" s="13" t="n">
        <v>3</v>
      </c>
      <c r="B4" s="13" t="inlineStr">
        <is>
          <t>Epic 26</t>
        </is>
      </c>
      <c r="C4" s="13" t="inlineStr">
        <is>
          <t>ASWD-26</t>
        </is>
      </c>
      <c r="D4" s="13" t="inlineStr">
        <is>
          <t>Logging: the basics</t>
        </is>
      </c>
      <c r="E4" s="8" t="inlineStr">
        <is>
          <t>Diagnosing problems after the fact. AccuSync writes informational, warning and error messages to a file with timestamps, keeps patient-identifiable data out of them, and carries logging into the code already written. Rotation and retention are ASWD-31.</t>
        </is>
      </c>
      <c r="F4" s="8" t="inlineStr">
        <is>
          <t>GID-255031-255034, GID-255038</t>
        </is>
      </c>
      <c r="G4" s="13" t="inlineStr">
        <is>
          <t>Medium</t>
        </is>
      </c>
      <c r="H4" s="13" t="inlineStr">
        <is>
          <t>Yet to start</t>
        </is>
      </c>
      <c r="I4" s="13" t="inlineStr">
        <is>
          <t>M1</t>
        </is>
      </c>
      <c r="J4" s="9">
        <f>SUMIFS('Task Breakdown'!$J:$J,'Task Breakdown'!$L:$L,$C4)</f>
        <v/>
      </c>
      <c r="K4" s="9">
        <f>J4/8</f>
        <v/>
      </c>
      <c r="L4" s="8" t="inlineStr">
        <is>
          <t>this epic is the logging basics only - a working logger, the agreed format, the patient-data rule, and logging added to the Epic 0 and Epic 1 code. It sits at position 4 so every later epic is written with logging available rather than having it retrofitted. Rotation, retention and file protection moved to ASWD-31 late in the plan, because they produce nothing a stakeholder can see.</t>
        </is>
      </c>
    </row>
    <row r="5" ht="78" customHeight="1">
      <c r="A5" s="13" t="n">
        <v>4</v>
      </c>
      <c r="B5" s="13" t="inlineStr">
        <is>
          <t>Epic 2</t>
        </is>
      </c>
      <c r="C5" s="13" t="inlineStr">
        <is>
          <t>ASWD-2</t>
        </is>
      </c>
      <c r="D5" s="13" t="inlineStr">
        <is>
          <t>Patient Management</t>
        </is>
      </c>
      <c r="E5" s="8" t="inlineStr">
        <is>
          <t>The whole clinical record workflow. A screener creates a baby's record, fills in demographics, caregiver and medical details, answers the risk-factor questions, adds comments, finds the baby again in the list, reviews the tests recorded against it, and prints a report. An administrator configures which fields appear, which are mandatory, how the list sorts, and what the risk-factor and comment lists contain.</t>
        </is>
      </c>
      <c r="F5" s="8" t="inlineStr">
        <is>
          <t>GID-254873-254893, GID-254895-254897, GID-254950-254964, GID-254966, GID-255009, GID-255012, GID-255466</t>
        </is>
      </c>
      <c r="G5" s="13" t="inlineStr">
        <is>
          <t>High</t>
        </is>
      </c>
      <c r="H5" s="13" t="inlineStr">
        <is>
          <t>Yet to start</t>
        </is>
      </c>
      <c r="I5" s="13" t="inlineStr">
        <is>
          <t>M1-M2</t>
        </is>
      </c>
      <c r="J5" s="9">
        <f>SUMIFS('Task Breakdown'!$J:$J,'Task Breakdown'!$L:$L,$C5)</f>
        <v/>
      </c>
      <c r="K5" s="9">
        <f>J5/8</f>
        <v/>
      </c>
      <c r="L5" s="8" t="inlineStr">
        <is>
          <t>The largest epic at 136 days, about a fifth of the project. Delivered in four slices (2A to 2D) so there are four checkpoints instead of one 36-week run. Absorbs the old ASWD-15, ASWD-16 and ASWD-17. Nothing in this area is persisted today.</t>
        </is>
      </c>
    </row>
    <row r="6" ht="78" customHeight="1">
      <c r="A6" s="13" t="n">
        <v>5</v>
      </c>
      <c r="B6" s="13" t="inlineStr">
        <is>
          <t>Epic 5</t>
        </is>
      </c>
      <c r="C6" s="13" t="inlineStr">
        <is>
          <t>ASWD-5</t>
        </is>
      </c>
      <c r="D6" s="13" t="inlineStr">
        <is>
          <t>OAE Test Result</t>
        </is>
      </c>
      <c r="E6" s="8" t="inlineStr">
        <is>
          <t>Reviewing an otoacoustic emission result. A user opens a completed TEOAE or DPOAE test and sees the result detail, the waveform, the test comments and which device recorded it.</t>
        </is>
      </c>
      <c r="F6" s="8" t="inlineStr">
        <is>
          <t>GID-254901-254902</t>
        </is>
      </c>
      <c r="G6" s="13" t="inlineStr">
        <is>
          <t>Medium</t>
        </is>
      </c>
      <c r="H6" s="13" t="inlineStr">
        <is>
          <t>Yet to start</t>
        </is>
      </c>
      <c r="I6" s="13" t="inlineStr">
        <is>
          <t>M3</t>
        </is>
      </c>
      <c r="J6" s="9">
        <f>SUMIFS('Task Breakdown'!$J:$J,'Task Breakdown'!$L:$L,$C6)</f>
        <v/>
      </c>
      <c r="K6" s="9">
        <f>J6/8</f>
        <v/>
      </c>
      <c r="L6" s="8" t="inlineStr">
        <is>
          <t>Moved ahead of Import and Export by decision D15, because waveforms on screen are the most visible thing in the product. Starts with a two-day investigation, because neither the waveform storage format nor a way to draw it exists yet. F5 is essential: it loads a real device file through the three parsers that already work, so the views are demonstrated on genuine screening data rather than invented data.</t>
        </is>
      </c>
    </row>
    <row r="7" ht="78" customHeight="1">
      <c r="A7" s="13" t="n">
        <v>6</v>
      </c>
      <c r="B7" s="13" t="inlineStr">
        <is>
          <t>Epic 6</t>
        </is>
      </c>
      <c r="C7" s="13" t="inlineStr">
        <is>
          <t>ASWD-6</t>
        </is>
      </c>
      <c r="D7" s="13" t="inlineStr">
        <is>
          <t>ABR Test Result</t>
        </is>
      </c>
      <c r="E7" s="8" t="inlineStr">
        <is>
          <t>Reviewing an auditory brainstem response result. A user opens a completed ABR test and sees the result detail, the waveform, EEG noise and impedance readings, comments and device information.</t>
        </is>
      </c>
      <c r="F7" s="8" t="inlineStr">
        <is>
          <t>GID-254903</t>
        </is>
      </c>
      <c r="G7" s="13" t="inlineStr">
        <is>
          <t>Medium</t>
        </is>
      </c>
      <c r="H7" s="13" t="inlineStr">
        <is>
          <t>Yet to start</t>
        </is>
      </c>
      <c r="I7" s="13" t="inlineStr">
        <is>
          <t>M3</t>
        </is>
      </c>
      <c r="J7" s="9">
        <f>SUMIFS('Task Breakdown'!$J:$J,'Task Breakdown'!$L:$L,$C7)</f>
        <v/>
      </c>
      <c r="K7" s="9">
        <f>J7/8</f>
        <v/>
      </c>
      <c r="L7" s="8" t="inlineStr">
        <is>
          <t>Cheaper than ASWD-5 because the waveform investigation and drawing code are reused. TestRecord already carries the ABR-specific fields.</t>
        </is>
      </c>
    </row>
    <row r="8" ht="78" customHeight="1">
      <c r="A8" s="13" t="n">
        <v>7</v>
      </c>
      <c r="B8" s="13" t="inlineStr">
        <is>
          <t>Epic 7</t>
        </is>
      </c>
      <c r="C8" s="13" t="inlineStr">
        <is>
          <t>ASWD-7</t>
        </is>
      </c>
      <c r="D8" s="13" t="inlineStr">
        <is>
          <t>User Account Management</t>
        </is>
      </c>
      <c r="E8" s="8" t="inlineStr">
        <is>
          <t>Managing who can use AccuSync. An administrator creates a user, sets their profile and display language, activates or deactivates them, unlocks a locked account, and sets the password rules and lockout duration that apply to everyone.</t>
        </is>
      </c>
      <c r="F8" s="8" t="inlineStr">
        <is>
          <t>GID-254904-254912, GID-255020, GID-255022</t>
        </is>
      </c>
      <c r="G8" s="13" t="inlineStr">
        <is>
          <t>High</t>
        </is>
      </c>
      <c r="H8" s="13" t="inlineStr">
        <is>
          <t>Yet to start</t>
        </is>
      </c>
      <c r="I8" s="13" t="inlineStr">
        <is>
          <t>M4</t>
        </is>
      </c>
      <c r="J8" s="9">
        <f>SUMIFS('Task Breakdown'!$J:$J,'Task Breakdown'!$L:$L,$C8)</f>
        <v/>
      </c>
      <c r="K8" s="9">
        <f>J8/8</f>
        <v/>
      </c>
      <c r="L8" s="8" t="inlineStr">
        <is>
          <t>F1 matters more than it looks: there is currently no working way to create a real user account, which is why the password-history rule in GID-255020 can never fire. Absorbs four items moved from ASWD-1.</t>
        </is>
      </c>
    </row>
    <row r="9" ht="78" customHeight="1">
      <c r="A9" s="13" t="n">
        <v>8</v>
      </c>
      <c r="B9" s="13" t="inlineStr">
        <is>
          <t>Epic 8</t>
        </is>
      </c>
      <c r="C9" s="13" t="inlineStr">
        <is>
          <t>ASWD-8</t>
        </is>
      </c>
      <c r="D9" s="13" t="inlineStr">
        <is>
          <t>Profile Management</t>
        </is>
      </c>
      <c r="E9" s="8" t="inlineStr">
        <is>
          <t>Deciding what each kind of user is allowed to do. An administrator creates a profile, ticks the individual permissions it grants, and assigns it to users. Those permissions then control which screens and actions each person sees.</t>
        </is>
      </c>
      <c r="F9" s="8" t="inlineStr">
        <is>
          <t>GID-254913-254918</t>
        </is>
      </c>
      <c r="G9" s="13" t="inlineStr">
        <is>
          <t>High</t>
        </is>
      </c>
      <c r="H9" s="13" t="inlineStr">
        <is>
          <t>Yet to start</t>
        </is>
      </c>
      <c r="I9" s="13" t="inlineStr">
        <is>
          <t>M4</t>
        </is>
      </c>
      <c r="J9" s="9">
        <f>SUMIFS('Task Breakdown'!$J:$J,'Task Breakdown'!$L:$L,$C9)</f>
        <v/>
      </c>
      <c r="K9" s="9">
        <f>J9/8</f>
        <v/>
      </c>
      <c r="L9" s="8" t="inlineStr">
        <is>
          <t>Replaces three hardcoded role presets in C# with real database-driven profiles. Warning: the 33 permission fields are recorded only in a .sql file due to be deleted, so Epic 0 F4 must capture them first.</t>
        </is>
      </c>
    </row>
    <row r="10" ht="78" customHeight="1">
      <c r="A10" s="13" t="n">
        <v>9</v>
      </c>
      <c r="B10" s="13" t="inlineStr">
        <is>
          <t>Epic 9</t>
        </is>
      </c>
      <c r="C10" s="13" t="inlineStr">
        <is>
          <t>ASWD-9</t>
        </is>
      </c>
      <c r="D10" s="13" t="inlineStr">
        <is>
          <t>Device Management</t>
        </is>
      </c>
      <c r="E10" s="8" t="inlineStr">
        <is>
          <t>Keeping track of the screening devices a site owns. An administrator adds a device, records its name and serial number, assigns which users and which facilities it belongs to, configures its on-device settings, and sees when it was last seen and what firmware it is running.</t>
        </is>
      </c>
      <c r="F10" s="8" t="inlineStr">
        <is>
          <t>GID-254919-254926</t>
        </is>
      </c>
      <c r="G10" s="13" t="inlineStr">
        <is>
          <t>Medium</t>
        </is>
      </c>
      <c r="H10" s="13" t="inlineStr">
        <is>
          <t>Yet to start</t>
        </is>
      </c>
      <c r="I10" s="13" t="inlineStr">
        <is>
          <t>M4</t>
        </is>
      </c>
      <c r="J10" s="9">
        <f>SUMIFS('Task Breakdown'!$J:$J,'Task Breakdown'!$L:$L,$C10)</f>
        <v/>
      </c>
      <c r="K10" s="9">
        <f>J10/8</f>
        <v/>
      </c>
      <c r="L10" s="8" t="inlineStr">
        <is>
          <t>Do not start F4 until question Q8 is answered. GID-254925 is a safety-related requirement pointing at Hazard 6.4, and the risk assessment document has not been provided.</t>
        </is>
      </c>
    </row>
    <row r="11" ht="78" customHeight="1">
      <c r="A11" s="13" t="n">
        <v>10</v>
      </c>
      <c r="B11" s="13" t="inlineStr">
        <is>
          <t>Epic 10</t>
        </is>
      </c>
      <c r="C11" s="13" t="inlineStr">
        <is>
          <t>ASWD-10</t>
        </is>
      </c>
      <c r="D11" s="13" t="inlineStr">
        <is>
          <t>Site Management</t>
        </is>
      </c>
      <c r="E11" s="8" t="inlineStr">
        <is>
          <t>Setting up the organisation, top level. An administrator records each site with its name, description and code, and decides whether the site and facility list is pushed out to devices.</t>
        </is>
      </c>
      <c r="F11" s="8" t="inlineStr">
        <is>
          <t>GID-254927-254931, GID-255001-255002</t>
        </is>
      </c>
      <c r="G11" s="13" t="inlineStr">
        <is>
          <t>Medium</t>
        </is>
      </c>
      <c r="H11" s="13" t="inlineStr">
        <is>
          <t>Yet to start</t>
        </is>
      </c>
      <c r="I11" s="13" t="inlineStr">
        <is>
          <t>M4</t>
        </is>
      </c>
      <c r="J11" s="9">
        <f>SUMIFS('Task Breakdown'!$J:$J,'Task Breakdown'!$L:$L,$C11)</f>
        <v/>
      </c>
      <c r="K11" s="9">
        <f>J11/8</f>
        <v/>
      </c>
      <c r="L11" s="8" t="inlineStr">
        <is>
          <t>Also builds the shared 'can this record be deleted?' check that Facility, Location, Profile, Device, Protocol, Risk Factor and Comment all reuse.</t>
        </is>
      </c>
    </row>
    <row r="12" ht="78" customHeight="1">
      <c r="A12" s="13" t="n">
        <v>11</v>
      </c>
      <c r="B12" s="13" t="inlineStr">
        <is>
          <t>Epic 11</t>
        </is>
      </c>
      <c r="C12" s="13" t="inlineStr">
        <is>
          <t>ASWD-11</t>
        </is>
      </c>
      <c r="D12" s="13" t="inlineStr">
        <is>
          <t>Facility Management</t>
        </is>
      </c>
      <c r="E12" s="8" t="inlineStr">
        <is>
          <t>Setting up the organisation, middle level. An administrator records each facility with its name, description, code, parent site and location type.</t>
        </is>
      </c>
      <c r="F12" s="8" t="inlineStr">
        <is>
          <t>GID-254932-254936</t>
        </is>
      </c>
      <c r="G12" s="13" t="inlineStr">
        <is>
          <t>Medium</t>
        </is>
      </c>
      <c r="H12" s="13" t="inlineStr">
        <is>
          <t>Yet to start</t>
        </is>
      </c>
      <c r="I12" s="13" t="inlineStr">
        <is>
          <t>M4</t>
        </is>
      </c>
      <c r="J12" s="9">
        <f>SUMIFS('Task Breakdown'!$J:$J,'Task Breakdown'!$L:$L,$C12)</f>
        <v/>
      </c>
      <c r="K12" s="9">
        <f>J12/8</f>
        <v/>
      </c>
      <c r="L12" s="8" t="inlineStr">
        <is>
          <t>Reuses the in-use check built in ASWD-10. Needed by ASWD-9 F3, which assigns facilities to devices.</t>
        </is>
      </c>
    </row>
    <row r="13" ht="78" customHeight="1">
      <c r="A13" s="13" t="n">
        <v>12</v>
      </c>
      <c r="B13" s="13" t="inlineStr">
        <is>
          <t>Epic 12</t>
        </is>
      </c>
      <c r="C13" s="13" t="inlineStr">
        <is>
          <t>ASWD-12</t>
        </is>
      </c>
      <c r="D13" s="13" t="inlineStr">
        <is>
          <t>Location Management</t>
        </is>
      </c>
      <c r="E13" s="8" t="inlineStr">
        <is>
          <t>Setting up the organisation, lowest level. An administrator records each location and can assign a new location to every facility at once.</t>
        </is>
      </c>
      <c r="F13" s="8" t="inlineStr">
        <is>
          <t>GID-254937-254941, GID-255465</t>
        </is>
      </c>
      <c r="G13" s="13" t="inlineStr">
        <is>
          <t>Medium</t>
        </is>
      </c>
      <c r="H13" s="13" t="inlineStr">
        <is>
          <t>Yet to start</t>
        </is>
      </c>
      <c r="I13" s="13" t="inlineStr">
        <is>
          <t>M4</t>
        </is>
      </c>
      <c r="J13" s="9">
        <f>SUMIFS('Task Breakdown'!$J:$J,'Task Breakdown'!$L:$L,$C13)</f>
        <v/>
      </c>
      <c r="K13" s="9">
        <f>J13/8</f>
        <v/>
      </c>
      <c r="L13" s="8" t="inlineStr"/>
    </row>
    <row r="14" ht="78" customHeight="1">
      <c r="A14" s="13" t="n">
        <v>13</v>
      </c>
      <c r="B14" s="13" t="inlineStr">
        <is>
          <t>Epic 13</t>
        </is>
      </c>
      <c r="C14" s="13" t="inlineStr">
        <is>
          <t>ASWD-13</t>
        </is>
      </c>
      <c r="D14" s="13" t="inlineStr">
        <is>
          <t>ABR Test Protocol Configuration</t>
        </is>
      </c>
      <c r="E14" s="8" t="inlineStr">
        <is>
          <t>Defining how an ABR test is run. An administrator creates a named test protocol, sets its parameters, and edits or deletes protocols later.</t>
        </is>
      </c>
      <c r="F14" s="8" t="inlineStr">
        <is>
          <t>GID-254942-254945</t>
        </is>
      </c>
      <c r="G14" s="13" t="inlineStr">
        <is>
          <t>Medium</t>
        </is>
      </c>
      <c r="H14" s="13" t="inlineStr">
        <is>
          <t>Yet to start</t>
        </is>
      </c>
      <c r="I14" s="13" t="inlineStr">
        <is>
          <t>M4</t>
        </is>
      </c>
      <c r="J14" s="9">
        <f>SUMIFS('Task Breakdown'!$J:$J,'Task Breakdown'!$L:$L,$C14)</f>
        <v/>
      </c>
      <c r="K14" s="9">
        <f>J14/8</f>
        <v/>
      </c>
      <c r="L14" s="8" t="inlineStr">
        <is>
          <t>The allowed values for each protocol parameter exist only in a .sql file due to be deleted. Epic 0 F4 must capture them first or this epic loses its specification.</t>
        </is>
      </c>
    </row>
    <row r="15" ht="78" customHeight="1">
      <c r="A15" s="13" t="n">
        <v>14</v>
      </c>
      <c r="B15" s="13" t="inlineStr">
        <is>
          <t>Epic 14</t>
        </is>
      </c>
      <c r="C15" s="13" t="inlineStr">
        <is>
          <t>ASWD-14</t>
        </is>
      </c>
      <c r="D15" s="13" t="inlineStr">
        <is>
          <t>DPOAE Test Protocol Configuration</t>
        </is>
      </c>
      <c r="E15" s="8" t="inlineStr">
        <is>
          <t>Defining how a DPOAE test is run. Same workflow as the ABR protocol epic, for the other test type.</t>
        </is>
      </c>
      <c r="F15" s="8" t="inlineStr">
        <is>
          <t>GID-254946-254949</t>
        </is>
      </c>
      <c r="G15" s="13" t="inlineStr">
        <is>
          <t>Medium</t>
        </is>
      </c>
      <c r="H15" s="13" t="inlineStr">
        <is>
          <t>Yet to start</t>
        </is>
      </c>
      <c r="I15" s="13" t="inlineStr">
        <is>
          <t>M4</t>
        </is>
      </c>
      <c r="J15" s="9">
        <f>SUMIFS('Task Breakdown'!$J:$J,'Task Breakdown'!$L:$L,$C15)</f>
        <v/>
      </c>
      <c r="K15" s="9">
        <f>J15/8</f>
        <v/>
      </c>
      <c r="L15" s="8" t="inlineStr">
        <is>
          <t>Same warning as ASWD-13 about the parameter value ranges.</t>
        </is>
      </c>
    </row>
    <row r="16" ht="78" customHeight="1">
      <c r="A16" s="13" t="n">
        <v>15</v>
      </c>
      <c r="B16" s="13" t="inlineStr">
        <is>
          <t>Epic 3</t>
        </is>
      </c>
      <c r="C16" s="13" t="inlineStr">
        <is>
          <t>ASWD-32</t>
        </is>
      </c>
      <c r="D16" s="13" t="inlineStr">
        <is>
          <t>Data Exchange: import, export and S4H</t>
        </is>
      </c>
      <c r="E16" s="8" t="inlineStr">
        <is>
          <t>Moving data in and out of AccuSync, in every format, both ways. A user imports a file a screening device or another system produced, and exports patients and results back out in the format the receiving system needs, with the exact folder and file name the requirements specify and patient identifiers stripped if asked. AccuSync also signs on to the national SMaRT4Hearing service, receives the authoritative lists of users, devices, facilities and risk factors, and sends screening results back.</t>
        </is>
      </c>
      <c r="F16" s="8" t="inlineStr">
        <is>
          <t>GID-254898-254900, GID-254971-254995, GID-256274-256286, GID-256512</t>
        </is>
      </c>
      <c r="G16" s="13" t="inlineStr">
        <is>
          <t>High</t>
        </is>
      </c>
      <c r="H16" s="13" t="inlineStr">
        <is>
          <t>Yet to start</t>
        </is>
      </c>
      <c r="I16" s="13" t="inlineStr">
        <is>
          <t>M5-M7</t>
        </is>
      </c>
      <c r="J16" s="9">
        <f>SUMIFS('Task Breakdown'!$J:$J,'Task Breakdown'!$L:$L,$C16)</f>
        <v/>
      </c>
      <c r="K16" s="9">
        <f>J16/8</f>
        <v/>
      </c>
      <c r="L16" s="8" t="inlineStr">
        <is>
          <t>Replaces ASWD-3 Import, ASWD-4 Export and ASWD-20 S4H, merged per D20: one feature per format, import and export finished together. Reading the AccuLink source removed the 3-day SEDQ discovery and unblocked the HiTrack and OZ file layouts - the contract is northgate.wsdl and the layouts are declared in HiTrackTest and Oz7Test. CSV is the one format AccuLink cannot answer, so Q3 still blocks F3. Needs a Jira epic number.</t>
        </is>
      </c>
    </row>
    <row r="17" ht="78" customHeight="1">
      <c r="A17" s="13" t="n">
        <v>16</v>
      </c>
      <c r="B17" s="13" t="inlineStr">
        <is>
          <t>Epic 18</t>
        </is>
      </c>
      <c r="C17" s="13" t="inlineStr">
        <is>
          <t>ASWD-18</t>
        </is>
      </c>
      <c r="D17" s="13" t="inlineStr">
        <is>
          <t>Report Generation</t>
        </is>
      </c>
      <c r="E17" s="8" t="inlineStr">
        <is>
          <t>Producing something to hand over or file. A user picks a patient, chooses a report, and AccuSync renders it with the hospital logo and the chosen paper size, then prints it or saves it to a file.</t>
        </is>
      </c>
      <c r="F17" s="8" t="inlineStr">
        <is>
          <t>GID-254894, GID-254965, GID-255112-255113</t>
        </is>
      </c>
      <c r="G17" s="13" t="inlineStr">
        <is>
          <t>Medium</t>
        </is>
      </c>
      <c r="H17" s="13" t="inlineStr">
        <is>
          <t>Yet to start</t>
        </is>
      </c>
      <c r="I17" s="13" t="inlineStr">
        <is>
          <t>M6</t>
        </is>
      </c>
      <c r="J17" s="9">
        <f>SUMIFS('Task Breakdown'!$J:$J,'Task Breakdown'!$L:$L,$C17)</f>
        <v/>
      </c>
      <c r="K17" s="9">
        <f>J17/8</f>
        <v/>
      </c>
      <c r="L17" s="8" t="inlineStr">
        <is>
          <t>Starts with an investigation, because there is no reporting library in the solution at all. Question Q5 may fold ASWD-2 F9 into this epic.</t>
        </is>
      </c>
    </row>
    <row r="18" ht="78" customHeight="1">
      <c r="A18" s="13" t="n">
        <v>17</v>
      </c>
      <c r="B18" s="13" t="inlineStr">
        <is>
          <t>Epic 19</t>
        </is>
      </c>
      <c r="C18" s="13" t="inlineStr">
        <is>
          <t>ASWD-19</t>
        </is>
      </c>
      <c r="D18" s="13" t="inlineStr">
        <is>
          <t>Language</t>
        </is>
      </c>
      <c r="E18" s="8" t="inlineStr">
        <is>
          <t>Using AccuSync in another language. A user or administrator picks a language, confirms the change, and every piece of on-screen text, message and result appears in it.</t>
        </is>
      </c>
      <c r="F18" s="8" t="inlineStr">
        <is>
          <t>GID-254967-254970, GID-256513</t>
        </is>
      </c>
      <c r="G18" s="13" t="inlineStr">
        <is>
          <t>Medium</t>
        </is>
      </c>
      <c r="H18" s="13" t="inlineStr">
        <is>
          <t>Yet to start</t>
        </is>
      </c>
      <c r="I18" s="13" t="inlineStr">
        <is>
          <t>M6</t>
        </is>
      </c>
      <c r="J18" s="9">
        <f>SUMIFS('Task Breakdown'!$J:$J,'Task Breakdown'!$L:$L,$C18)</f>
        <v/>
      </c>
      <c r="K18" s="9">
        <f>J18/8</f>
        <v/>
      </c>
      <c r="L18" s="8" t="inlineStr">
        <is>
          <t>1,204 strings are already externalised, but they are duplicated across two projects and there are zero translation files. Scope depends entirely on question Q1. Translation itself is not a development task and is not in the estimate.</t>
        </is>
      </c>
    </row>
    <row r="19" ht="78" customHeight="1">
      <c r="A19" s="13" t="n">
        <v>18</v>
      </c>
      <c r="B19" s="13" t="inlineStr">
        <is>
          <t>Epic 21</t>
        </is>
      </c>
      <c r="C19" s="13" t="inlineStr">
        <is>
          <t>ASWD-21</t>
        </is>
      </c>
      <c r="D19" s="13" t="inlineStr">
        <is>
          <t>Device Communication (+ Firmware)</t>
        </is>
      </c>
      <c r="E19" s="8" t="inlineStr">
        <is>
          <t>Talking to the AccuScreen Pro. A user plugs a device in over USB, AccuSync shows it connecting, reads its identity and firmware version, sends patients and configuration down to it, pulls completed test results back, and updates its firmware with warnings and progress shown.</t>
        </is>
      </c>
      <c r="F19" s="8" t="inlineStr">
        <is>
          <t>GID-254996-255005, GID-255010-255011, GID-255044-255045</t>
        </is>
      </c>
      <c r="G19" s="13" t="inlineStr">
        <is>
          <t>High</t>
        </is>
      </c>
      <c r="H19" s="13" t="inlineStr">
        <is>
          <t>Yet to start</t>
        </is>
      </c>
      <c r="I19" s="13" t="inlineStr">
        <is>
          <t>M7</t>
        </is>
      </c>
      <c r="J19" s="9">
        <f>SUMIFS('Task Breakdown'!$J:$J,'Task Breakdown'!$L:$L,$C19)</f>
        <v/>
      </c>
      <c r="K19" s="9">
        <f>J19/8</f>
        <v/>
      </c>
      <c r="L19" s="8" t="inlineStr">
        <is>
          <t>The project that should hold all of this does not exist on disk. Blocked on question Q10: no protocol specification, no confirmed physical device, and the requirements say USB while the architecture document says serial port. Its investigation is pulled forward.</t>
        </is>
      </c>
    </row>
    <row r="20" ht="78" customHeight="1">
      <c r="A20" s="13" t="n">
        <v>19</v>
      </c>
      <c r="B20" s="13" t="inlineStr">
        <is>
          <t>Epic 24</t>
        </is>
      </c>
      <c r="C20" s="13" t="inlineStr">
        <is>
          <t>ASWD-24</t>
        </is>
      </c>
      <c r="D20" s="13" t="inlineStr">
        <is>
          <t>Alarms, Warnings, Operator Messages</t>
        </is>
      </c>
      <c r="E20" s="8" t="inlineStr">
        <is>
          <t>Telling the user what is happening. Progress is shown during slow operations such as printing, data transfer and firmware updates, and the user is warned before an inactivity logout.</t>
        </is>
      </c>
      <c r="F20" s="8" t="inlineStr">
        <is>
          <t>GID-255008-255014</t>
        </is>
      </c>
      <c r="G20" s="13" t="inlineStr">
        <is>
          <t>Medium</t>
        </is>
      </c>
      <c r="H20" s="13" t="inlineStr">
        <is>
          <t>Yet to start</t>
        </is>
      </c>
      <c r="I20" s="13" t="inlineStr">
        <is>
          <t>M8</t>
        </is>
      </c>
      <c r="J20" s="9">
        <f>SUMIFS('Task Breakdown'!$J:$J,'Task Breakdown'!$L:$L,$C20)</f>
        <v/>
      </c>
      <c r="K20" s="9">
        <f>J20/8</f>
        <v/>
      </c>
      <c r="L20" s="8" t="inlineStr">
        <is>
          <t>Five of its seven requirements are delivered by other epics. F2 is blocked: GID-255014 asks for a warning before automatic logout, but no requirement describes the logout itself (question Q13).</t>
        </is>
      </c>
    </row>
    <row r="21" ht="78" customHeight="1">
      <c r="A21" s="13" t="n">
        <v>20</v>
      </c>
      <c r="B21" s="13" t="inlineStr">
        <is>
          <t>Epic 31</t>
        </is>
      </c>
      <c r="C21" s="13" t="inlineStr">
        <is>
          <t>ASWD-31</t>
        </is>
      </c>
      <c r="D21" s="13" t="inlineStr">
        <is>
          <t>Logging: retention and protection</t>
        </is>
      </c>
      <c r="E21" s="8" t="inlineStr">
        <is>
          <t>Keeping the log files under control. Log files roll daily and at 5 MB, are named to a set pattern, are kept 366 days then deleted oldest-first, cannot be read by an ordinary user, and cannot be deleted or modified through anything AccuSync provides.</t>
        </is>
      </c>
      <c r="F21" s="8" t="inlineStr">
        <is>
          <t>GID-255035-255037</t>
        </is>
      </c>
      <c r="G21" s="13" t="inlineStr">
        <is>
          <t>Low</t>
        </is>
      </c>
      <c r="H21" s="13" t="inlineStr">
        <is>
          <t>Yet to start</t>
        </is>
      </c>
      <c r="I21" s="13" t="inlineStr">
        <is>
          <t>M8</t>
        </is>
      </c>
      <c r="J21" s="9">
        <f>SUMIFS('Task Breakdown'!$J:$J,'Task Breakdown'!$L:$L,$C21)</f>
        <v/>
      </c>
      <c r="K21" s="9">
        <f>J21/8</f>
        <v/>
      </c>
      <c r="L21" s="8" t="inlineStr">
        <is>
          <t>Split out of ASWD-26 and placed here on purpose: none of it is visible to a stakeholder, and the logger it protects already exists from Epic 26. Sits next to Audit Trail because that needs the same rolling, retention and protection approach. NEEDS A JIRA EPIC - ASWD-31 is a placeholder. GID-255037 was reworded by Natus but is not yet changed in Jama.</t>
        </is>
      </c>
    </row>
    <row r="22" ht="78" customHeight="1">
      <c r="A22" s="13" t="n">
        <v>21</v>
      </c>
      <c r="B22" s="13" t="inlineStr">
        <is>
          <t>Epic 25</t>
        </is>
      </c>
      <c r="C22" s="13" t="inlineStr">
        <is>
          <t>ASWD-25</t>
        </is>
      </c>
      <c r="D22" s="13" t="inlineStr">
        <is>
          <t>Audit Trail</t>
        </is>
      </c>
      <c r="E22" s="8" t="inlineStr">
        <is>
          <t>Proving who did what. Every login, patient change, configuration change, synchronisation and firmware update is written to an audit log with the user, time, description, device and outcome, and kept for at least a year.</t>
        </is>
      </c>
      <c r="F22" s="8" t="inlineStr">
        <is>
          <t>GID-255023-255030</t>
        </is>
      </c>
      <c r="G22" s="13" t="inlineStr">
        <is>
          <t>High</t>
        </is>
      </c>
      <c r="H22" s="13" t="inlineStr">
        <is>
          <t>Yet to start</t>
        </is>
      </c>
      <c r="I22" s="13" t="inlineStr">
        <is>
          <t>M8</t>
        </is>
      </c>
      <c r="J22" s="9">
        <f>SUMIFS('Task Breakdown'!$J:$J,'Task Breakdown'!$L:$L,$C22)</f>
        <v/>
      </c>
      <c r="K22" s="9">
        <f>J22/8</f>
        <v/>
      </c>
      <c r="L22" s="8" t="inlineStr">
        <is>
          <t>Deliberately late, per decision D6. One consequence: patient records created during testing before this lands will have no audit history. Also, with two databases an audit entry and the change it records cannot be written in one transaction, so it is best-effort.</t>
        </is>
      </c>
    </row>
    <row r="23" ht="78" customHeight="1">
      <c r="A23" s="13" t="n">
        <v>22</v>
      </c>
      <c r="B23" s="13" t="inlineStr">
        <is>
          <t>Epic 27</t>
        </is>
      </c>
      <c r="C23" s="13" t="inlineStr">
        <is>
          <t>ASWD-27</t>
        </is>
      </c>
      <c r="D23" s="13" t="inlineStr">
        <is>
          <t>About</t>
        </is>
      </c>
      <c r="E23" s="8" t="inlineStr">
        <is>
          <t>Finding out what you are running. A user opens About and sees the version number, the manufacturer name and the website.</t>
        </is>
      </c>
      <c r="F23" s="8" t="inlineStr">
        <is>
          <t>GID-255039</t>
        </is>
      </c>
      <c r="G23" s="13" t="inlineStr">
        <is>
          <t>Low</t>
        </is>
      </c>
      <c r="H23" s="13" t="inlineStr">
        <is>
          <t>Yet to start</t>
        </is>
      </c>
      <c r="I23" s="13" t="inlineStr">
        <is>
          <t>M8</t>
        </is>
      </c>
      <c r="J23" s="9">
        <f>SUMIFS('Task Breakdown'!$J:$J,'Task Breakdown'!$L:$L,$C23)</f>
        <v/>
      </c>
      <c r="K23" s="9">
        <f>J23/8</f>
        <v/>
      </c>
      <c r="L23" s="8" t="inlineStr"/>
    </row>
    <row r="24" ht="78" customHeight="1">
      <c r="A24" s="13" t="n">
        <v>23</v>
      </c>
      <c r="B24" s="13" t="inlineStr">
        <is>
          <t>Epic 28</t>
        </is>
      </c>
      <c r="C24" s="13" t="inlineStr">
        <is>
          <t>ASWD-28</t>
        </is>
      </c>
      <c r="D24" s="13" t="inlineStr">
        <is>
          <t>Help</t>
        </is>
      </c>
      <c r="E24" s="8" t="inlineStr">
        <is>
          <t>Getting help without leaving the application. A user opens the help documentation from inside AccuSync, or presses the Help icon on a screen and lands on the page for that screen.</t>
        </is>
      </c>
      <c r="F24" s="8" t="inlineStr">
        <is>
          <t>GID-255040-255041</t>
        </is>
      </c>
      <c r="G24" s="13" t="inlineStr">
        <is>
          <t>Low</t>
        </is>
      </c>
      <c r="H24" s="13" t="inlineStr">
        <is>
          <t>Yet to start</t>
        </is>
      </c>
      <c r="I24" s="13" t="inlineStr">
        <is>
          <t>M8</t>
        </is>
      </c>
      <c r="J24" s="9">
        <f>SUMIFS('Task Breakdown'!$J:$J,'Task Breakdown'!$L:$L,$C24)</f>
        <v/>
      </c>
      <c r="K24" s="9">
        <f>J24/8</f>
        <v/>
      </c>
      <c r="L24" s="8" t="inlineStr">
        <is>
          <t>Building the viewer is development work. Writing the help content is not, and no help content exists (question Q15).</t>
        </is>
      </c>
    </row>
    <row r="25" ht="78" customHeight="1">
      <c r="A25" s="13" t="n">
        <v>24</v>
      </c>
      <c r="B25" s="13" t="inlineStr">
        <is>
          <t>Epic 30</t>
        </is>
      </c>
      <c r="C25" s="13" t="inlineStr">
        <is>
          <t>ASWD-30</t>
        </is>
      </c>
      <c r="D25" s="13" t="inlineStr">
        <is>
          <t>Installation</t>
        </is>
      </c>
      <c r="E25" s="8" t="inlineStr">
        <is>
          <t>Getting AccuSync onto a machine and off it again, encrypted and on a supported system. A guided installer checks prerequisites and the operating system, installs the application, switches on database encryption and verifies it, and the uninstaller removes everything with a choice to keep or delete the database.</t>
        </is>
      </c>
      <c r="F25" s="8" t="inlineStr">
        <is>
          <t>GID-255006-255007, GID-255042-255047, GID-256510-256511</t>
        </is>
      </c>
      <c r="G25" s="13" t="inlineStr">
        <is>
          <t>High</t>
        </is>
      </c>
      <c r="H25" s="13" t="inlineStr">
        <is>
          <t>Yet to start</t>
        </is>
      </c>
      <c r="I25" s="13" t="inlineStr">
        <is>
          <t>M8</t>
        </is>
      </c>
      <c r="J25" s="9">
        <f>SUMIFS('Task Breakdown'!$J:$J,'Task Breakdown'!$L:$L,$C25)</f>
        <v/>
      </c>
      <c r="K25" s="9">
        <f>J25/8</f>
        <v/>
      </c>
      <c r="L25" s="8" t="inlineStr">
        <is>
          <t>Absorbs ASWD-22 (network check), ASWD-23 (Windows 11 check) and ASWD-29 (database storage and encryption) per decision D14, growing from 15.0 to 27.0 days and 10 requirements. Built at delivery time per D9, so only a fresh install has to be proven. F6 must include a full regression pass: everything up to this point is developed against unencrypted databases, and an encrypted SQLite provider changes the connection string and can change file-locking and performance behaviour.</t>
        </is>
      </c>
    </row>
    <row r="26" ht="78" customHeight="1">
      <c r="A26" s="13" t="n">
        <v>25</v>
      </c>
      <c r="B26" s="13" t="inlineStr">
        <is>
          <t>Epic 33</t>
        </is>
      </c>
      <c r="C26" s="13" t="inlineStr">
        <is>
          <t>ASWD-33</t>
        </is>
      </c>
      <c r="D26" s="13" t="inlineStr">
        <is>
          <t>Release: release testing and documentation</t>
        </is>
      </c>
      <c r="E26" s="8" t="inlineStr">
        <is>
          <t>Taking a feature-complete build and shipping it. Every one of the 196 requirements is tested by hand against a named build with the evidence recorded, defects are triaged and re-tested, the product is installed and proven on a clean machine of each supported Windows version, and it ships with a user manual, instructions for use and release notes.</t>
        </is>
      </c>
      <c r="F26" s="8" t="inlineStr">
        <is>
          <t>Enabler - no requirement</t>
        </is>
      </c>
      <c r="G26" s="13" t="inlineStr">
        <is>
          <t>High</t>
        </is>
      </c>
      <c r="H26" s="13" t="inlineStr">
        <is>
          <t>Yet to start</t>
        </is>
      </c>
      <c r="I26" s="13" t="inlineStr">
        <is>
          <t>M8</t>
        </is>
      </c>
      <c r="J26" s="9">
        <f>SUMIFS('Task Breakdown'!$J:$J,'Task Breakdown'!$L:$L,$C26)</f>
        <v/>
      </c>
      <c r="K26" s="9">
        <f>J26/8</f>
        <v/>
      </c>
      <c r="L26" s="8" t="inlineStr">
        <is>
          <t>Added at the code reviewer's request, then scoped to two features by the lead the same day: release testing and user documentation. The integration suite, requirement traceability, the IEC 62304 records and the ISO 14971 risk file were cut and risk R3 is reopened for them - on a medical device they are mandatory, so the likely owner is Natus's own quality and regulatory function. No SRS requirement covers release, testing or documentation, which is why this work was invisible.</t>
        </is>
      </c>
    </row>
    <row r="27">
      <c r="A27" s="10" t="n"/>
      <c r="B27" s="10" t="n"/>
      <c r="C27" s="10" t="n"/>
      <c r="D27" s="10" t="n"/>
      <c r="E27" s="10" t="n"/>
      <c r="F27" s="10" t="n"/>
      <c r="G27" s="10" t="n"/>
      <c r="H27" s="10" t="n"/>
      <c r="I27" s="14" t="inlineStr">
        <is>
          <t>TOTAL</t>
        </is>
      </c>
      <c r="J27" s="15">
        <f>SUM(J2:J26)</f>
        <v/>
      </c>
      <c r="K27" s="15">
        <f>SUM(K2:K26)</f>
        <v/>
      </c>
      <c r="L27" s="10" t="n"/>
    </row>
  </sheetData>
  <autoFilter ref="A1:L26"/>
  <conditionalFormatting sqref="G2:G26">
    <cfRule type="cellIs" priority="1" operator="equal" dxfId="0">
      <formula>"High"</formula>
    </cfRule>
    <cfRule type="cellIs" priority="2" operator="equal" dxfId="1">
      <formula>"Medium"</formula>
    </cfRule>
    <cfRule type="cellIs" priority="3" operator="equal" dxfId="2">
      <formula>"Low"</formula>
    </cfRule>
  </conditionalFormatting>
  <conditionalFormatting sqref="H2:H26">
    <cfRule type="cellIs" priority="4" operator="equal" dxfId="2">
      <formula>"Complete"</formula>
    </cfRule>
    <cfRule type="cellIs" priority="5" operator="equal" dxfId="3">
      <formula>"In progress"</formula>
    </cfRule>
    <cfRule type="cellIs" priority="6" operator="equal" dxfId="4">
      <formula>"Yet to start"</formula>
    </cfRule>
  </conditionalFormatting>
  <dataValidations count="2">
    <dataValidation sqref="G2:G26" showDropDown="0" showInputMessage="0" showErrorMessage="0" allowBlank="1" type="list">
      <formula1>"High,Medium,Low"</formula1>
    </dataValidation>
    <dataValidation sqref="H2:H26" showDropDown="0" showInputMessage="0" showErrorMessage="0" allowBlank="1" type="list">
      <formula1>"Yet to start,In progress,Complete"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9"/>
  <sheetViews>
    <sheetView workbookViewId="0">
      <pane ySplit="1" topLeftCell="A2" activePane="bottomLeft" state="frozen"/>
      <selection pane="bottomLeft" activeCell="A1" sqref="A1"/>
    </sheetView>
  </sheetViews>
  <sheetFormatPr baseColWidth="8" defaultRowHeight="15"/>
  <cols>
    <col width="4" customWidth="1" min="1" max="1"/>
    <col width="9" customWidth="1" min="2" max="2"/>
    <col width="10" customWidth="1" min="3" max="3"/>
    <col width="26" customWidth="1" min="4" max="4"/>
    <col width="7" customWidth="1" min="5" max="5"/>
    <col width="8" customWidth="1" min="6" max="6"/>
    <col width="34" customWidth="1" min="7" max="7"/>
    <col width="66" customWidth="1" min="8" max="8"/>
    <col width="30" customWidth="1" min="9" max="9"/>
    <col width="8" customWidth="1" min="10" max="10"/>
    <col width="10" customWidth="1" min="11" max="11"/>
    <col width="12" customWidth="1" min="12" max="12"/>
    <col width="11" customWidth="1" min="13" max="13"/>
    <col width="12" customWidth="1" min="14" max="14"/>
    <col width="11" customWidth="1" min="15" max="15"/>
    <col width="46" customWidth="1" min="16" max="16"/>
  </cols>
  <sheetData>
    <row r="1" ht="30" customHeight="1">
      <c r="A1" s="6" t="inlineStr">
        <is>
          <t>#</t>
        </is>
      </c>
      <c r="B1" s="6" t="inlineStr">
        <is>
          <t>Epic</t>
        </is>
      </c>
      <c r="C1" s="6" t="inlineStr">
        <is>
          <t>Jira</t>
        </is>
      </c>
      <c r="D1" s="6" t="inlineStr">
        <is>
          <t>Epic name</t>
        </is>
      </c>
      <c r="E1" s="6" t="inlineStr">
        <is>
          <t>Slice</t>
        </is>
      </c>
      <c r="F1" s="6" t="inlineStr">
        <is>
          <t>Feature</t>
        </is>
      </c>
      <c r="G1" s="6" t="inlineStr">
        <is>
          <t>Feature name</t>
        </is>
      </c>
      <c r="H1" s="6" t="inlineStr">
        <is>
          <t>Workflow this feature covers</t>
        </is>
      </c>
      <c r="I1" s="6" t="inlineStr">
        <is>
          <t>Requirement IDs</t>
        </is>
      </c>
      <c r="J1" s="6" t="inlineStr">
        <is>
          <t>Builds tables</t>
        </is>
      </c>
      <c r="K1" s="6" t="inlineStr">
        <is>
          <t>Impact</t>
        </is>
      </c>
      <c r="L1" s="6" t="inlineStr">
        <is>
          <t>State</t>
        </is>
      </c>
      <c r="M1" s="6" t="inlineStr">
        <is>
          <t>Milestone</t>
        </is>
      </c>
      <c r="N1" s="6" t="inlineStr">
        <is>
          <t>Total hours</t>
        </is>
      </c>
      <c r="O1" s="6" t="inlineStr">
        <is>
          <t>Total days</t>
        </is>
      </c>
      <c r="P1" s="6" t="inlineStr">
        <is>
          <t>Notes</t>
        </is>
      </c>
    </row>
    <row r="2" ht="62" customHeight="1">
      <c r="A2" s="13" t="n">
        <v>1</v>
      </c>
      <c r="B2" s="13" t="inlineStr">
        <is>
          <t>Epic 0</t>
        </is>
      </c>
      <c r="C2" s="13" t="inlineStr">
        <is>
          <t>ASWD-77</t>
        </is>
      </c>
      <c r="D2" s="13" t="inlineStr">
        <is>
          <t>Revamp Code Base</t>
        </is>
      </c>
      <c r="E2" s="13" t="inlineStr"/>
      <c r="F2" s="13" t="inlineStr">
        <is>
          <t>F1</t>
        </is>
      </c>
      <c r="G2" s="8" t="inlineStr">
        <is>
          <t xml:space="preserve"> Architecture revamp</t>
        </is>
      </c>
      <c r="H2" s="8" t="inlineStr">
        <is>
          <t>Fix the clean-copy build failure --&gt; architecture revamp</t>
        </is>
      </c>
      <c r="I2" s="8" t="inlineStr">
        <is>
          <t>Enabler - no requirement</t>
        </is>
      </c>
      <c r="J2" s="13" t="inlineStr">
        <is>
          <t>Yes</t>
        </is>
      </c>
      <c r="K2" s="13" t="inlineStr">
        <is>
          <t>High</t>
        </is>
      </c>
      <c r="L2" s="13" t="inlineStr">
        <is>
          <t>In progress</t>
        </is>
      </c>
      <c r="M2" s="13" t="inlineStr">
        <is>
          <t>M1</t>
        </is>
      </c>
      <c r="N2" s="9">
        <f>SUMIFS('Task Breakdown'!$J:$J,'Task Breakdown'!$L:$L,$C2,'Task Breakdown'!$M:$M,$F2)</f>
        <v/>
      </c>
      <c r="O2" s="9">
        <f>N2/8</f>
        <v/>
      </c>
      <c r="P2" s="8" t="inlineStr"/>
    </row>
    <row r="3" ht="62" customHeight="1">
      <c r="A3" s="13" t="n">
        <v>2</v>
      </c>
      <c r="B3" s="13" t="inlineStr">
        <is>
          <t>Epic 1</t>
        </is>
      </c>
      <c r="C3" s="13" t="inlineStr">
        <is>
          <t>ASWD-1</t>
        </is>
      </c>
      <c r="D3" s="13" t="inlineStr">
        <is>
          <t>Login</t>
        </is>
      </c>
      <c r="E3" s="13" t="inlineStr"/>
      <c r="F3" s="13" t="inlineStr">
        <is>
          <t>F1</t>
        </is>
      </c>
      <c r="G3" s="8" t="inlineStr">
        <is>
          <t>Login and Logout of AccuSync</t>
        </is>
      </c>
      <c r="H3" s="8" t="inlineStr">
        <is>
          <t>The user can log in, log out, and change the password.</t>
        </is>
      </c>
      <c r="I3" s="8" t="inlineStr">
        <is>
          <t>GID-255015, GID-255016, GID-255017, GID-255018, GID-255019, GID-255021</t>
        </is>
      </c>
      <c r="J3" s="13" t="inlineStr"/>
      <c r="K3" s="13" t="inlineStr">
        <is>
          <t>Medium</t>
        </is>
      </c>
      <c r="L3" s="13" t="inlineStr">
        <is>
          <t>In progress</t>
        </is>
      </c>
      <c r="M3" s="13" t="inlineStr">
        <is>
          <t>M1</t>
        </is>
      </c>
      <c r="N3" s="9">
        <f>SUMIFS('Task Breakdown'!$J:$J,'Task Breakdown'!$L:$L,$C3,'Task Breakdown'!$M:$M,$F3)</f>
        <v/>
      </c>
      <c r="O3" s="9">
        <f>N3/8</f>
        <v/>
      </c>
      <c r="P3" s="8" t="inlineStr"/>
    </row>
    <row r="4" ht="62" customHeight="1">
      <c r="A4" s="13" t="n">
        <v>3</v>
      </c>
      <c r="B4" s="13" t="inlineStr">
        <is>
          <t>Epic 26</t>
        </is>
      </c>
      <c r="C4" s="13" t="inlineStr">
        <is>
          <t>ASWD-26</t>
        </is>
      </c>
      <c r="D4" s="13" t="inlineStr">
        <is>
          <t>Logging: the basics</t>
        </is>
      </c>
      <c r="E4" s="13" t="inlineStr"/>
      <c r="F4" s="13" t="inlineStr">
        <is>
          <t>F1</t>
        </is>
      </c>
      <c r="G4" s="8" t="inlineStr">
        <is>
          <t>Logging that works, and logging in the code already written</t>
        </is>
      </c>
      <c r="H4" s="8" t="inlineStr">
        <is>
          <t>Logging interface in `Core`, file output, four levels (Debug / Info / Warning / Error), the agreed entry format, written to `%ProgramData%\Natus\AccuSync\Logs`, with exception logging that records type and message but never `ex.ToString()` -&gt; Convert the existing `Debug.WriteLine` and `Console.WriteLine` calls -&gt; Add logging to the Epic 0 and Epic 1 code already written</t>
        </is>
      </c>
      <c r="I4" s="8" t="inlineStr">
        <is>
          <t>GID-255031, GID-255032, GID-255033, GID-255034, GID-255038</t>
        </is>
      </c>
      <c r="J4" s="13" t="inlineStr"/>
      <c r="K4" s="13" t="inlineStr">
        <is>
          <t>High</t>
        </is>
      </c>
      <c r="L4" s="13" t="inlineStr">
        <is>
          <t>Yet to start</t>
        </is>
      </c>
      <c r="M4" s="13" t="inlineStr">
        <is>
          <t>M1</t>
        </is>
      </c>
      <c r="N4" s="9">
        <f>SUMIFS('Task Breakdown'!$J:$J,'Task Breakdown'!$L:$L,$C4,'Task Breakdown'!$M:$M,$F4)</f>
        <v/>
      </c>
      <c r="O4" s="9">
        <f>N4/8</f>
        <v/>
      </c>
      <c r="P4" s="8" t="inlineStr"/>
    </row>
    <row r="5" ht="62" customHeight="1">
      <c r="A5" s="13" t="n">
        <v>4</v>
      </c>
      <c r="B5" s="13" t="inlineStr">
        <is>
          <t>Epic 2</t>
        </is>
      </c>
      <c r="C5" s="13" t="inlineStr">
        <is>
          <t>ASWD-2</t>
        </is>
      </c>
      <c r="D5" s="13" t="inlineStr">
        <is>
          <t>Patient Management</t>
        </is>
      </c>
      <c r="E5" s="13" t="inlineStr">
        <is>
          <t>2A</t>
        </is>
      </c>
      <c r="F5" s="13" t="inlineStr">
        <is>
          <t>F1</t>
        </is>
      </c>
      <c r="G5" s="8" t="inlineStr">
        <is>
          <t>Create, view, edit and delete a patient record</t>
        </is>
      </c>
      <c r="H5" s="8" t="inlineStr">
        <is>
          <t>Create the `Patients` and `PatientContacts` tables, repository and service -&gt; Add a new patient -&gt; View a patient -&gt; Edit a patient -&gt; Soft-delete a patient -&gt; The 19 ALGO device fields the ALGO 5 / ALGO Pro devices send that AccuSync cannot store, plus the Physician / Pediatrician relabel that fixes a live import defect, and Medication becomes multi-line. Scope confirmed by Natus— the baby’s own address and phone were dropped -&gt; The AccuLink fields AccuSync is missing — 22 fields plus Birth Location becoming a combo box, from two places and both of them AccuLink: its own field set (six confirmed, the rest from the alignment the lead is running with Natus) and its HiTrack and Australia data-exchange plugins (seven fields, fully enumerated). Combo boxes rather than plain dropdowns, typed values saved on the patient only, one shared Race list — all three confirmed by Natus. The comparison and the Natus sign-off are not development work and are not costed ·</t>
        </is>
      </c>
      <c r="I5" s="8" t="inlineStr">
        <is>
          <t>GID-254883, GID-254885, GID-254886, GID-254891</t>
        </is>
      </c>
      <c r="J5" s="13" t="inlineStr">
        <is>
          <t>Yes</t>
        </is>
      </c>
      <c r="K5" s="13" t="inlineStr">
        <is>
          <t>High</t>
        </is>
      </c>
      <c r="L5" s="13" t="inlineStr">
        <is>
          <t>Yet to start</t>
        </is>
      </c>
      <c r="M5" s="13" t="inlineStr">
        <is>
          <t>M1</t>
        </is>
      </c>
      <c r="N5" s="9">
        <f>SUMIFS('Task Breakdown'!$J:$J,'Task Breakdown'!$L:$L,$C5,'Task Breakdown'!$M:$M,$F5)</f>
        <v/>
      </c>
      <c r="O5" s="9">
        <f>N5/8</f>
        <v/>
      </c>
      <c r="P5" s="8" t="inlineStr"/>
    </row>
    <row r="6" ht="62" customHeight="1">
      <c r="A6" s="13" t="n">
        <v>5</v>
      </c>
      <c r="B6" s="13" t="inlineStr">
        <is>
          <t>Epic 2</t>
        </is>
      </c>
      <c r="C6" s="13" t="inlineStr">
        <is>
          <t>ASWD-2</t>
        </is>
      </c>
      <c r="D6" s="13" t="inlineStr">
        <is>
          <t>Patient Management</t>
        </is>
      </c>
      <c r="E6" s="13" t="inlineStr">
        <is>
          <t>2A</t>
        </is>
      </c>
      <c r="F6" s="13" t="inlineStr">
        <is>
          <t>F2</t>
        </is>
      </c>
      <c r="G6" s="8" t="inlineStr">
        <is>
          <t>Shared Add/Edit/Delete and Save/Revert/Undo framework</t>
        </is>
      </c>
      <c r="H6" s="8" t="inlineStr">
        <is>
          <t>Shared Add/Edit/Delete commands and the delete-confirmation prompt -&gt; Shared change-tracking and undo stack for Save/Revert/Undo -&gt; Warn before closing or navigating away with unsaved changes</t>
        </is>
      </c>
      <c r="I6" s="8" t="inlineStr">
        <is>
          <t>GID-254873, GID-254874, GID-254875, GID-254876, GID-254877, GID-254878, GID-254879, GID-254880, GID-254881, GID-254882, GID-255009</t>
        </is>
      </c>
      <c r="J6" s="13" t="inlineStr"/>
      <c r="K6" s="13" t="inlineStr">
        <is>
          <t>High</t>
        </is>
      </c>
      <c r="L6" s="13" t="inlineStr">
        <is>
          <t>Yet to start</t>
        </is>
      </c>
      <c r="M6" s="13" t="inlineStr">
        <is>
          <t>M1</t>
        </is>
      </c>
      <c r="N6" s="9">
        <f>SUMIFS('Task Breakdown'!$J:$J,'Task Breakdown'!$L:$L,$C6,'Task Breakdown'!$M:$M,$F6)</f>
        <v/>
      </c>
      <c r="O6" s="9">
        <f>N6/8</f>
        <v/>
      </c>
      <c r="P6" s="8" t="inlineStr">
        <is>
          <t>First build of the shared framework, per decision D11. Later epics adopt it.</t>
        </is>
      </c>
    </row>
    <row r="7" ht="62" customHeight="1">
      <c r="A7" s="13" t="n">
        <v>6</v>
      </c>
      <c r="B7" s="13" t="inlineStr">
        <is>
          <t>Epic 2</t>
        </is>
      </c>
      <c r="C7" s="13" t="inlineStr">
        <is>
          <t>ASWD-2</t>
        </is>
      </c>
      <c r="D7" s="13" t="inlineStr">
        <is>
          <t>Patient Management</t>
        </is>
      </c>
      <c r="E7" s="13" t="inlineStr">
        <is>
          <t>2B</t>
        </is>
      </c>
      <c r="F7" s="13" t="inlineStr">
        <is>
          <t>F3</t>
        </is>
      </c>
      <c r="G7" s="8" t="inlineStr">
        <is>
          <t>Show and search the patient list</t>
        </is>
      </c>
      <c r="H7" s="8" t="inlineStr">
        <is>
          <t>Show the patient list with the 6 required columns -&gt; Build-your-own filter across several fields at once — Phase 1 per Natus, needs a new requirement -&gt; Search by patient ID, first name, last name, date of birth, or test date range</t>
        </is>
      </c>
      <c r="I7" s="8" t="inlineStr">
        <is>
          <t>GID-254884, GID-254887, GID-254890</t>
        </is>
      </c>
      <c r="J7" s="13" t="inlineStr"/>
      <c r="K7" s="13" t="inlineStr">
        <is>
          <t>High</t>
        </is>
      </c>
      <c r="L7" s="13" t="inlineStr">
        <is>
          <t>Yet to start</t>
        </is>
      </c>
      <c r="M7" s="13" t="inlineStr">
        <is>
          <t>M1</t>
        </is>
      </c>
      <c r="N7" s="9">
        <f>SUMIFS('Task Breakdown'!$J:$J,'Task Breakdown'!$L:$L,$C7,'Task Breakdown'!$M:$M,$F7)</f>
        <v/>
      </c>
      <c r="O7" s="9">
        <f>N7/8</f>
        <v/>
      </c>
      <c r="P7" s="8" t="inlineStr"/>
    </row>
    <row r="8" ht="62" customHeight="1">
      <c r="A8" s="13" t="n">
        <v>7</v>
      </c>
      <c r="B8" s="13" t="inlineStr">
        <is>
          <t>Epic 2</t>
        </is>
      </c>
      <c r="C8" s="13" t="inlineStr">
        <is>
          <t>ASWD-2</t>
        </is>
      </c>
      <c r="D8" s="13" t="inlineStr">
        <is>
          <t>Patient Management</t>
        </is>
      </c>
      <c r="E8" s="13" t="inlineStr">
        <is>
          <t>2B</t>
        </is>
      </c>
      <c r="F8" s="13" t="inlineStr">
        <is>
          <t>F4</t>
        </is>
      </c>
      <c r="G8" s="8" t="inlineStr">
        <is>
          <t>Show, delete and reassign test results, with permissions enforced</t>
        </is>
      </c>
      <c r="H8" s="8" t="inlineStr">
        <is>
          <t>Create the `TestSessions` and `TestRecords` tables -&gt; Show the test list with the 7 required columns -&gt; Delete one test entry, admin only -&gt; Move a test result to the correct patient -&gt; Enforce "unless locked by permissions" on edit -&gt; Limit test delete and test reassignment to administrators. Patient delete is open to every user, by customer decision</t>
        </is>
      </c>
      <c r="I8" s="8" t="inlineStr">
        <is>
          <t>GID-254895, GID-254896, GID-254897</t>
        </is>
      </c>
      <c r="J8" s="13" t="inlineStr">
        <is>
          <t>Yes</t>
        </is>
      </c>
      <c r="K8" s="13" t="inlineStr">
        <is>
          <t>High</t>
        </is>
      </c>
      <c r="L8" s="13" t="inlineStr">
        <is>
          <t>Yet to start</t>
        </is>
      </c>
      <c r="M8" s="13" t="inlineStr">
        <is>
          <t>M1</t>
        </is>
      </c>
      <c r="N8" s="9">
        <f>SUMIFS('Task Breakdown'!$J:$J,'Task Breakdown'!$L:$L,$C8,'Task Breakdown'!$M:$M,$F8)</f>
        <v/>
      </c>
      <c r="O8" s="9">
        <f>N8/8</f>
        <v/>
      </c>
      <c r="P8" s="8" t="inlineStr"/>
    </row>
    <row r="9" ht="62" customHeight="1">
      <c r="A9" s="13" t="n">
        <v>8</v>
      </c>
      <c r="B9" s="13" t="inlineStr">
        <is>
          <t>Epic 2</t>
        </is>
      </c>
      <c r="C9" s="13" t="inlineStr">
        <is>
          <t>ASWD-2</t>
        </is>
      </c>
      <c r="D9" s="13" t="inlineStr">
        <is>
          <t>Patient Management</t>
        </is>
      </c>
      <c r="E9" s="13" t="inlineStr">
        <is>
          <t>2B</t>
        </is>
      </c>
      <c r="F9" s="13" t="inlineStr">
        <is>
          <t>F5</t>
        </is>
      </c>
      <c r="G9" s="8" t="inlineStr">
        <is>
          <t>Store the field setup, validate input and enforce mandatory fields</t>
        </is>
      </c>
      <c r="H9" s="8" t="inlineStr">
        <is>
          <t>Create the `FieldSetup` and `SystemSettings` tables -&gt; Show which fields are mandatory -&gt; Only allow save when mandatory fields are filled -&gt; Validate input and block saving bad data -&gt; Show which field is wrong and what to fix</t>
        </is>
      </c>
      <c r="I9" s="8" t="inlineStr">
        <is>
          <t>GID-254892, GID-254893, GID-254966, GID-255012</t>
        </is>
      </c>
      <c r="J9" s="13" t="inlineStr">
        <is>
          <t>Yes</t>
        </is>
      </c>
      <c r="K9" s="13" t="inlineStr">
        <is>
          <t>High</t>
        </is>
      </c>
      <c r="L9" s="13" t="inlineStr">
        <is>
          <t>Yet to start</t>
        </is>
      </c>
      <c r="M9" s="13" t="inlineStr">
        <is>
          <t>M1</t>
        </is>
      </c>
      <c r="N9" s="9">
        <f>SUMIFS('Task Breakdown'!$J:$J,'Task Breakdown'!$L:$L,$C9,'Task Breakdown'!$M:$M,$F9)</f>
        <v/>
      </c>
      <c r="O9" s="9">
        <f>N9/8</f>
        <v/>
      </c>
      <c r="P9" s="8" t="inlineStr"/>
    </row>
    <row r="10" ht="62" customHeight="1">
      <c r="A10" s="13" t="n">
        <v>9</v>
      </c>
      <c r="B10" s="13" t="inlineStr">
        <is>
          <t>Epic 2</t>
        </is>
      </c>
      <c r="C10" s="13" t="inlineStr">
        <is>
          <t>ASWD-2</t>
        </is>
      </c>
      <c r="D10" s="13" t="inlineStr">
        <is>
          <t>Patient Management</t>
        </is>
      </c>
      <c r="E10" s="13" t="inlineStr">
        <is>
          <t>2C</t>
        </is>
      </c>
      <c r="F10" s="13" t="inlineStr">
        <is>
          <t>F6</t>
        </is>
      </c>
      <c r="G10" s="8" t="inlineStr">
        <is>
          <t>Configure patient fields, ID format, list sorting and prompts</t>
        </is>
      </c>
      <c r="H10" s="8" t="inlineStr">
        <is>
          <t>Choose which patient fields are mandatory and which are shown -&gt; Configure the patient ID format check -&gt; Configure how the patient list is sorted -&gt; Turn on or off: confirm on save, confirm on delete, warn on change -&gt; Rename patient field labels — all 62 fields, not only the 4 spare "Available Field" slots -&gt; Patient QR code, and the "include in QR" choice per field — Phase 1 per Natus, needs a new requirement</t>
        </is>
      </c>
      <c r="I10" s="8" t="inlineStr">
        <is>
          <t>GID-254960, GID-254961, GID-254962, GID-254963, GID-254964, GID-255466</t>
        </is>
      </c>
      <c r="J10" s="13" t="inlineStr"/>
      <c r="K10" s="13" t="inlineStr">
        <is>
          <t>Medium</t>
        </is>
      </c>
      <c r="L10" s="13" t="inlineStr">
        <is>
          <t>Yet to start</t>
        </is>
      </c>
      <c r="M10" s="13" t="inlineStr">
        <is>
          <t>M2</t>
        </is>
      </c>
      <c r="N10" s="9">
        <f>SUMIFS('Task Breakdown'!$J:$J,'Task Breakdown'!$L:$L,$C10,'Task Breakdown'!$M:$M,$F10)</f>
        <v/>
      </c>
      <c r="O10" s="9">
        <f>N10/8</f>
        <v/>
      </c>
      <c r="P10" s="8" t="inlineStr"/>
    </row>
    <row r="11" ht="62" customHeight="1">
      <c r="A11" s="13" t="n">
        <v>10</v>
      </c>
      <c r="B11" s="13" t="inlineStr">
        <is>
          <t>Epic 2</t>
        </is>
      </c>
      <c r="C11" s="13" t="inlineStr">
        <is>
          <t>ASWD-2</t>
        </is>
      </c>
      <c r="D11" s="13" t="inlineStr">
        <is>
          <t>Patient Management</t>
        </is>
      </c>
      <c r="E11" s="13" t="inlineStr">
        <is>
          <t>2D</t>
        </is>
      </c>
      <c r="F11" s="13" t="inlineStr">
        <is>
          <t>F7</t>
        </is>
      </c>
      <c r="G11" s="8" t="inlineStr">
        <is>
          <t>Set a patient's risk factors and comments</t>
        </is>
      </c>
      <c r="H11" s="8" t="inlineStr">
        <is>
          <t>Set risk factors with Yes / No / Unknown -&gt; Assign a predefined comment, or write a patient-specific one</t>
        </is>
      </c>
      <c r="I11" s="8" t="inlineStr">
        <is>
          <t>GID-254888, GID-254889</t>
        </is>
      </c>
      <c r="J11" s="13" t="inlineStr"/>
      <c r="K11" s="13" t="inlineStr">
        <is>
          <t>Medium</t>
        </is>
      </c>
      <c r="L11" s="13" t="inlineStr">
        <is>
          <t>Yet to start</t>
        </is>
      </c>
      <c r="M11" s="13" t="inlineStr">
        <is>
          <t>M2</t>
        </is>
      </c>
      <c r="N11" s="9">
        <f>SUMIFS('Task Breakdown'!$J:$J,'Task Breakdown'!$L:$L,$C11,'Task Breakdown'!$M:$M,$F11)</f>
        <v/>
      </c>
      <c r="O11" s="9">
        <f>N11/8</f>
        <v/>
      </c>
      <c r="P11" s="8" t="inlineStr"/>
    </row>
    <row r="12" ht="62" customHeight="1">
      <c r="A12" s="13" t="n">
        <v>11</v>
      </c>
      <c r="B12" s="13" t="inlineStr">
        <is>
          <t>Epic 2</t>
        </is>
      </c>
      <c r="C12" s="13" t="inlineStr">
        <is>
          <t>ASWD-2</t>
        </is>
      </c>
      <c r="D12" s="13" t="inlineStr">
        <is>
          <t>Patient Management</t>
        </is>
      </c>
      <c r="E12" s="13" t="inlineStr">
        <is>
          <t>2D</t>
        </is>
      </c>
      <c r="F12" s="13" t="inlineStr">
        <is>
          <t>F8</t>
        </is>
      </c>
      <c r="G12" s="8" t="inlineStr">
        <is>
          <t>Manage and translate the risk factor list</t>
        </is>
      </c>
      <c r="H12" s="8" t="inlineStr">
        <is>
          <t>Create the `RiskFactors` table -&gt; Create, view, edit and delete risk factors, blocking edit and delete when already used by a patient -&gt; Create `RiskFactorTranslations` -&gt; Enter translated name and description per language</t>
        </is>
      </c>
      <c r="I12" s="8" t="inlineStr">
        <is>
          <t>GID-254950, GID-254951, GID-254952, GID-254953, GID-254954</t>
        </is>
      </c>
      <c r="J12" s="13" t="inlineStr">
        <is>
          <t>Yes</t>
        </is>
      </c>
      <c r="K12" s="13" t="inlineStr">
        <is>
          <t>Medium</t>
        </is>
      </c>
      <c r="L12" s="13" t="inlineStr">
        <is>
          <t>Yet to start</t>
        </is>
      </c>
      <c r="M12" s="13" t="inlineStr">
        <is>
          <t>M2</t>
        </is>
      </c>
      <c r="N12" s="9">
        <f>SUMIFS('Task Breakdown'!$J:$J,'Task Breakdown'!$L:$L,$C12,'Task Breakdown'!$M:$M,$F12)</f>
        <v/>
      </c>
      <c r="O12" s="9">
        <f>N12/8</f>
        <v/>
      </c>
      <c r="P12" s="8" t="inlineStr"/>
    </row>
    <row r="13" ht="62" customHeight="1">
      <c r="A13" s="13" t="n">
        <v>12</v>
      </c>
      <c r="B13" s="13" t="inlineStr">
        <is>
          <t>Epic 2</t>
        </is>
      </c>
      <c r="C13" s="13" t="inlineStr">
        <is>
          <t>ASWD-2</t>
        </is>
      </c>
      <c r="D13" s="13" t="inlineStr">
        <is>
          <t>Patient Management</t>
        </is>
      </c>
      <c r="E13" s="13" t="inlineStr">
        <is>
          <t>2D</t>
        </is>
      </c>
      <c r="F13" s="13" t="inlineStr">
        <is>
          <t>F9</t>
        </is>
      </c>
      <c r="G13" s="8" t="inlineStr">
        <is>
          <t>Manage and translate the comment list</t>
        </is>
      </c>
      <c r="H13" s="8" t="inlineStr">
        <is>
          <t>Create `PredefinedComments` -&gt; Create, view, edit and delete comments, blocking delete when already used -&gt; Create `PredefinedCommentTranslations` -&gt; Enter translated text per language</t>
        </is>
      </c>
      <c r="I13" s="8" t="inlineStr">
        <is>
          <t>GID-254955, GID-254956, GID-254957, GID-254958, GID-254959</t>
        </is>
      </c>
      <c r="J13" s="13" t="inlineStr">
        <is>
          <t>Yes</t>
        </is>
      </c>
      <c r="K13" s="13" t="inlineStr">
        <is>
          <t>Medium</t>
        </is>
      </c>
      <c r="L13" s="13" t="inlineStr">
        <is>
          <t>Yet to start</t>
        </is>
      </c>
      <c r="M13" s="13" t="inlineStr">
        <is>
          <t>M2</t>
        </is>
      </c>
      <c r="N13" s="9">
        <f>SUMIFS('Task Breakdown'!$J:$J,'Task Breakdown'!$L:$L,$C13,'Task Breakdown'!$M:$M,$F13)</f>
        <v/>
      </c>
      <c r="O13" s="9">
        <f>N13/8</f>
        <v/>
      </c>
      <c r="P13" s="8" t="inlineStr"/>
    </row>
    <row r="14" ht="62" customHeight="1">
      <c r="A14" s="13" t="n">
        <v>13</v>
      </c>
      <c r="B14" s="13" t="inlineStr">
        <is>
          <t>Epic 5</t>
        </is>
      </c>
      <c r="C14" s="13" t="inlineStr">
        <is>
          <t>ASWD-5</t>
        </is>
      </c>
      <c r="D14" s="13" t="inlineStr">
        <is>
          <t>OAE Test Result</t>
        </is>
      </c>
      <c r="E14" s="13" t="inlineStr"/>
      <c r="F14" s="13" t="inlineStr">
        <is>
          <t>F1</t>
        </is>
      </c>
      <c r="G14" s="8" t="inlineStr">
        <is>
          <t>Investigate the waveform data format and how to draw it</t>
        </is>
      </c>
      <c r="H14" s="8" t="inlineStr">
        <is>
          <t>2-day timeboxed look at the waveform data format and how to draw it</t>
        </is>
      </c>
      <c r="I14" s="8" t="inlineStr">
        <is>
          <t>Enabler - no requirement</t>
        </is>
      </c>
      <c r="J14" s="13" t="inlineStr"/>
      <c r="K14" s="13" t="inlineStr">
        <is>
          <t>Medium</t>
        </is>
      </c>
      <c r="L14" s="13" t="inlineStr">
        <is>
          <t>Yet to start</t>
        </is>
      </c>
      <c r="M14" s="13" t="inlineStr">
        <is>
          <t>M3</t>
        </is>
      </c>
      <c r="N14" s="9">
        <f>SUMIFS('Task Breakdown'!$J:$J,'Task Breakdown'!$L:$L,$C14,'Task Breakdown'!$M:$M,$F14)</f>
        <v/>
      </c>
      <c r="O14" s="9">
        <f>N14/8</f>
        <v/>
      </c>
      <c r="P14" s="8" t="inlineStr"/>
    </row>
    <row r="15" ht="62" customHeight="1">
      <c r="A15" s="13" t="n">
        <v>14</v>
      </c>
      <c r="B15" s="13" t="inlineStr">
        <is>
          <t>Epic 5</t>
        </is>
      </c>
      <c r="C15" s="13" t="inlineStr">
        <is>
          <t>ASWD-5</t>
        </is>
      </c>
      <c r="D15" s="13" t="inlineStr">
        <is>
          <t>OAE Test Result</t>
        </is>
      </c>
      <c r="E15" s="13" t="inlineStr"/>
      <c r="F15" s="13" t="inlineStr">
        <is>
          <t>F2</t>
        </is>
      </c>
      <c r="G15" s="8" t="inlineStr">
        <is>
          <t>Create the OAE result tables and load real device data into them</t>
        </is>
      </c>
      <c r="H15" s="8" t="inlineStr">
        <is>
          <t>Create `TEOAEResults` and `DPOAEResults` tables and waveform storage -&gt; Small utility that pushes a real device file through the existing ALGO 5 / AccuLink / ALGO Pro parsers straight into the test tables, so the result views can be demonstrated on genuine screening data before Import is built</t>
        </is>
      </c>
      <c r="I15" s="8" t="inlineStr">
        <is>
          <t>Enabler - no requirement</t>
        </is>
      </c>
      <c r="J15" s="13" t="inlineStr">
        <is>
          <t>Yes</t>
        </is>
      </c>
      <c r="K15" s="13" t="inlineStr">
        <is>
          <t>Medium</t>
        </is>
      </c>
      <c r="L15" s="13" t="inlineStr">
        <is>
          <t>Yet to start</t>
        </is>
      </c>
      <c r="M15" s="13" t="inlineStr">
        <is>
          <t>M3</t>
        </is>
      </c>
      <c r="N15" s="9">
        <f>SUMIFS('Task Breakdown'!$J:$J,'Task Breakdown'!$L:$L,$C15,'Task Breakdown'!$M:$M,$F15)</f>
        <v/>
      </c>
      <c r="O15" s="9">
        <f>N15/8</f>
        <v/>
      </c>
      <c r="P15" s="8" t="inlineStr"/>
    </row>
    <row r="16" ht="62" customHeight="1">
      <c r="A16" s="13" t="n">
        <v>15</v>
      </c>
      <c r="B16" s="13" t="inlineStr">
        <is>
          <t>Epic 5</t>
        </is>
      </c>
      <c r="C16" s="13" t="inlineStr">
        <is>
          <t>ASWD-5</t>
        </is>
      </c>
      <c r="D16" s="13" t="inlineStr">
        <is>
          <t>OAE Test Result</t>
        </is>
      </c>
      <c r="E16" s="13" t="inlineStr"/>
      <c r="F16" s="13" t="inlineStr">
        <is>
          <t>F3</t>
        </is>
      </c>
      <c r="G16" s="8" t="inlineStr">
        <is>
          <t>Show TEOAE and DPOAE results with waveform, comments and device info</t>
        </is>
      </c>
      <c r="H16" s="8" t="inlineStr">
        <is>
          <t>Details, waveform, comments and device info for TEOAE -&gt; Same for DPOAE</t>
        </is>
      </c>
      <c r="I16" s="8" t="inlineStr">
        <is>
          <t>GID-254901, GID-254902</t>
        </is>
      </c>
      <c r="J16" s="13" t="inlineStr"/>
      <c r="K16" s="13" t="inlineStr">
        <is>
          <t>Medium</t>
        </is>
      </c>
      <c r="L16" s="13" t="inlineStr">
        <is>
          <t>Yet to start</t>
        </is>
      </c>
      <c r="M16" s="13" t="inlineStr">
        <is>
          <t>M3</t>
        </is>
      </c>
      <c r="N16" s="9">
        <f>SUMIFS('Task Breakdown'!$J:$J,'Task Breakdown'!$L:$L,$C16,'Task Breakdown'!$M:$M,$F16)</f>
        <v/>
      </c>
      <c r="O16" s="9">
        <f>N16/8</f>
        <v/>
      </c>
      <c r="P16" s="8" t="inlineStr"/>
    </row>
    <row r="17" ht="62" customHeight="1">
      <c r="A17" s="13" t="n">
        <v>16</v>
      </c>
      <c r="B17" s="13" t="inlineStr">
        <is>
          <t>Epic 6</t>
        </is>
      </c>
      <c r="C17" s="13" t="inlineStr">
        <is>
          <t>ASWD-6</t>
        </is>
      </c>
      <c r="D17" s="13" t="inlineStr">
        <is>
          <t>ABR Test Result</t>
        </is>
      </c>
      <c r="E17" s="13" t="inlineStr"/>
      <c r="F17" s="13" t="inlineStr">
        <is>
          <t>F1</t>
        </is>
      </c>
      <c r="G17" s="8" t="inlineStr">
        <is>
          <t>Create the ABR result table and show results with EEG noise and impedance</t>
        </is>
      </c>
      <c r="H17" s="8" t="inlineStr">
        <is>
          <t>Create the `ABRResults` table -&gt; Details, waveform, comments, device info, plus EEG noise and impedance</t>
        </is>
      </c>
      <c r="I17" s="8" t="inlineStr">
        <is>
          <t>GID-254903</t>
        </is>
      </c>
      <c r="J17" s="13" t="inlineStr">
        <is>
          <t>Yes</t>
        </is>
      </c>
      <c r="K17" s="13" t="inlineStr">
        <is>
          <t>Medium</t>
        </is>
      </c>
      <c r="L17" s="13" t="inlineStr">
        <is>
          <t>Yet to start</t>
        </is>
      </c>
      <c r="M17" s="13" t="inlineStr">
        <is>
          <t>M3</t>
        </is>
      </c>
      <c r="N17" s="9">
        <f>SUMIFS('Task Breakdown'!$J:$J,'Task Breakdown'!$L:$L,$C17,'Task Breakdown'!$M:$M,$F17)</f>
        <v/>
      </c>
      <c r="O17" s="9">
        <f>N17/8</f>
        <v/>
      </c>
      <c r="P17" s="8" t="inlineStr"/>
    </row>
    <row r="18" ht="62" customHeight="1">
      <c r="A18" s="13" t="n">
        <v>17</v>
      </c>
      <c r="B18" s="13" t="inlineStr">
        <is>
          <t>Epic 7</t>
        </is>
      </c>
      <c r="C18" s="13" t="inlineStr">
        <is>
          <t>ASWD-7</t>
        </is>
      </c>
      <c r="D18" s="13" t="inlineStr">
        <is>
          <t>User Account Management</t>
        </is>
      </c>
      <c r="E18" s="13" t="inlineStr"/>
      <c r="F18" s="13" t="inlineStr">
        <is>
          <t>F1</t>
        </is>
      </c>
      <c r="G18" s="8" t="inlineStr">
        <is>
          <t>Manage user accounts: create, edit, delete, activate, unlock and set language</t>
        </is>
      </c>
      <c r="H18" s="8" t="inlineStr">
        <is>
          <t>View the user list -&gt; Create a user -&gt; Edit a user -&gt; Delete a user -&gt; Activate and deactivate -&gt; Unlock an account -&gt; Choose the display language for each user -&gt; Let a user set their own display language from the Settings screen — the dropdown is there but the choice is never stored (carried over from AccuLink) -&gt; Wire this screen's Add/Edit/Delete and Save/Revert/Undo onto Epic 2 F2's shared framework, replacing its own `Stack&lt;UserSnapshot&gt;` copy -&gt; Prevent transfer of deactivated user accounts to the device</t>
        </is>
      </c>
      <c r="I18" s="8" t="inlineStr">
        <is>
          <t>GID-254904, GID-254905, GID-254906, GID-254907, GID-254908, GID-254909, GID-254910, GID-255022</t>
        </is>
      </c>
      <c r="J18" s="13" t="inlineStr"/>
      <c r="K18" s="13" t="inlineStr">
        <is>
          <t>High</t>
        </is>
      </c>
      <c r="L18" s="13" t="inlineStr">
        <is>
          <t>Yet to start</t>
        </is>
      </c>
      <c r="M18" s="13" t="inlineStr">
        <is>
          <t>M4</t>
        </is>
      </c>
      <c r="N18" s="9">
        <f>SUMIFS('Task Breakdown'!$J:$J,'Task Breakdown'!$L:$L,$C18,'Task Breakdown'!$M:$M,$F18)</f>
        <v/>
      </c>
      <c r="O18" s="9">
        <f>N18/8</f>
        <v/>
      </c>
      <c r="P18" s="8" t="inlineStr"/>
    </row>
    <row r="19" ht="62" customHeight="1">
      <c r="A19" s="13" t="n">
        <v>18</v>
      </c>
      <c r="B19" s="13" t="inlineStr">
        <is>
          <t>Epic 7</t>
        </is>
      </c>
      <c r="C19" s="13" t="inlineStr">
        <is>
          <t>ASWD-7</t>
        </is>
      </c>
      <c r="D19" s="13" t="inlineStr">
        <is>
          <t>User Account Management</t>
        </is>
      </c>
      <c r="E19" s="13" t="inlineStr"/>
      <c r="F19" s="13" t="inlineStr">
        <is>
          <t>F2</t>
        </is>
      </c>
      <c r="G19" s="8" t="inlineStr">
        <is>
          <t>Apply and configure the password and lockout rules everywhere</t>
        </is>
      </c>
      <c r="H19" s="8" t="inlineStr">
        <is>
          <t>Move the password rules into `Core` and apply them to every place a password is set, and remove the hardcoded `"1234"` defaults -&gt; Let a signed-in user change their own password from the Settings screen — make Save actually persist, add a current-password check, and stop revealing the password in a plain text box (2.0) -&gt; Let an admin choose None / Simple / Complex, and show what each level actually enforces — the definitions are hardcoded in a resource file today (carried over from AccuLink) -&gt; Screen to set the lockout duration -&gt; Decide what happens to the 90-day expiry — Natus confirmed that it is wanted, so it is built rather than removed; needs a new requirement for the period and the day-91 behaviour -&gt; Prevent reuse of the last three passwords — the rule is coded but can never fire until real accounts exist (F1, defect DF7)</t>
        </is>
      </c>
      <c r="I19" s="8" t="inlineStr">
        <is>
          <t>GID-254911, GID-254912, GID-255020</t>
        </is>
      </c>
      <c r="J19" s="13" t="inlineStr"/>
      <c r="K19" s="13" t="inlineStr">
        <is>
          <t>High</t>
        </is>
      </c>
      <c r="L19" s="13" t="inlineStr">
        <is>
          <t>Yet to start</t>
        </is>
      </c>
      <c r="M19" s="13" t="inlineStr">
        <is>
          <t>M4</t>
        </is>
      </c>
      <c r="N19" s="9">
        <f>SUMIFS('Task Breakdown'!$J:$J,'Task Breakdown'!$L:$L,$C19,'Task Breakdown'!$M:$M,$F19)</f>
        <v/>
      </c>
      <c r="O19" s="9">
        <f>N19/8</f>
        <v/>
      </c>
      <c r="P19" s="8" t="inlineStr">
        <is>
          <t>Blocked pending a customer answer, see the plan section 8.</t>
        </is>
      </c>
    </row>
    <row r="20" ht="62" customHeight="1">
      <c r="A20" s="13" t="n">
        <v>19</v>
      </c>
      <c r="B20" s="13" t="inlineStr">
        <is>
          <t>Epic 8</t>
        </is>
      </c>
      <c r="C20" s="13" t="inlineStr">
        <is>
          <t>ASWD-8</t>
        </is>
      </c>
      <c r="D20" s="13" t="inlineStr">
        <is>
          <t>Profile Management</t>
        </is>
      </c>
      <c r="E20" s="13" t="inlineStr"/>
      <c r="F20" s="13" t="inlineStr">
        <is>
          <t>F1</t>
        </is>
      </c>
      <c r="G20" s="8" t="inlineStr">
        <is>
          <t>Create, view, edit and delete permission profiles</t>
        </is>
      </c>
      <c r="H20" s="8" t="inlineStr">
        <is>
          <t>Create the `Profiles` table with its permission fields -&gt; View, create, edit and delete profiles, and show Name / Description / Permissions -&gt; Wire this screen's Add/Edit/Delete and Save/Revert/Undo onto Epic 2 F2's shared framework, replacing any local copy</t>
        </is>
      </c>
      <c r="I20" s="8" t="inlineStr">
        <is>
          <t>GID-254913, GID-254914, GID-254915, GID-254916, GID-254917</t>
        </is>
      </c>
      <c r="J20" s="13" t="inlineStr">
        <is>
          <t>Yes</t>
        </is>
      </c>
      <c r="K20" s="13" t="inlineStr">
        <is>
          <t>High</t>
        </is>
      </c>
      <c r="L20" s="13" t="inlineStr">
        <is>
          <t>Yet to start</t>
        </is>
      </c>
      <c r="M20" s="13" t="inlineStr">
        <is>
          <t>M4</t>
        </is>
      </c>
      <c r="N20" s="9">
        <f>SUMIFS('Task Breakdown'!$J:$J,'Task Breakdown'!$L:$L,$C20,'Task Breakdown'!$M:$M,$F20)</f>
        <v/>
      </c>
      <c r="O20" s="9">
        <f>N20/8</f>
        <v/>
      </c>
      <c r="P20" s="8" t="inlineStr"/>
    </row>
    <row r="21" ht="62" customHeight="1">
      <c r="A21" s="13" t="n">
        <v>20</v>
      </c>
      <c r="B21" s="13" t="inlineStr">
        <is>
          <t>Epic 8</t>
        </is>
      </c>
      <c r="C21" s="13" t="inlineStr">
        <is>
          <t>ASWD-8</t>
        </is>
      </c>
      <c r="D21" s="13" t="inlineStr">
        <is>
          <t>Profile Management</t>
        </is>
      </c>
      <c r="E21" s="13" t="inlineStr"/>
      <c r="F21" s="13" t="inlineStr">
        <is>
          <t>F2</t>
        </is>
      </c>
      <c r="G21" s="8" t="inlineStr">
        <is>
          <t>Set permissions per profile and retire the hardcoded roles</t>
        </is>
      </c>
      <c r="H21" s="8" t="inlineStr">
        <is>
          <t>Set permissions per profile on the profile screen (2.0) -&gt; Retire the fixed presets in `UserPermissionsViewModel` and read permissions from the database (1.5)</t>
        </is>
      </c>
      <c r="I21" s="8" t="inlineStr">
        <is>
          <t>GID-254918</t>
        </is>
      </c>
      <c r="J21" s="13" t="inlineStr"/>
      <c r="K21" s="13" t="inlineStr">
        <is>
          <t>High</t>
        </is>
      </c>
      <c r="L21" s="13" t="inlineStr">
        <is>
          <t>Yet to start</t>
        </is>
      </c>
      <c r="M21" s="13" t="inlineStr">
        <is>
          <t>M4</t>
        </is>
      </c>
      <c r="N21" s="9">
        <f>SUMIFS('Task Breakdown'!$J:$J,'Task Breakdown'!$L:$L,$C21,'Task Breakdown'!$M:$M,$F21)</f>
        <v/>
      </c>
      <c r="O21" s="9">
        <f>N21/8</f>
        <v/>
      </c>
      <c r="P21" s="8" t="inlineStr"/>
    </row>
    <row r="22" ht="62" customHeight="1">
      <c r="A22" s="13" t="n">
        <v>21</v>
      </c>
      <c r="B22" s="13" t="inlineStr">
        <is>
          <t>Epic 8</t>
        </is>
      </c>
      <c r="C22" s="13" t="inlineStr">
        <is>
          <t>ASWD-8</t>
        </is>
      </c>
      <c r="D22" s="13" t="inlineStr">
        <is>
          <t>Profile Management</t>
        </is>
      </c>
      <c r="E22" s="13" t="inlineStr"/>
      <c r="F22" s="13" t="inlineStr">
        <is>
          <t>F3</t>
        </is>
      </c>
      <c r="G22" s="8" t="inlineStr">
        <is>
          <t>Complete RBAC: one authorization mechanism, enforced everywhere</t>
        </is>
      </c>
      <c r="H22" s="8" t="inlineStr">
        <is>
          <t>Capture the 33 permission fields from `Databases/SettingsDatabase.sql` before that file is deleted, and write them down as the permission model (1.5) -&gt; One authorization service in `Core`: who is signed in, their effective permissions, and a single `Can(permission)` check that everything calls (2.0) -&gt; Enforce in the UI — every command’s `CanExecute`, and a blocked action hidden rather than merely greyed out (2.5) -&gt; Enforce again in the Application layer, so going around a screen does not go around the rule (2.5) -&gt; Re-evaluate a signed-in user’s permissions when their profile changes, without a restart (1.0) -&gt; Every denied action is logged and audited (1.0) -&gt; The permission matrix: 33 permissions × every gated action, written down as both the specification and the test oracle (2.0) -&gt; Tests proving each permission gates its action at both layers, and that patient delete stays available to every user per the 22 Aug decision (2.5)</t>
        </is>
      </c>
      <c r="I22" s="8" t="inlineStr">
        <is>
          <t>Enabler - no requirement</t>
        </is>
      </c>
      <c r="J22" s="13" t="inlineStr">
        <is>
          <t>Yes</t>
        </is>
      </c>
      <c r="K22" s="13" t="inlineStr">
        <is>
          <t>Medium</t>
        </is>
      </c>
      <c r="L22" s="13" t="inlineStr">
        <is>
          <t>Yet to start</t>
        </is>
      </c>
      <c r="M22" s="13" t="inlineStr">
        <is>
          <t>M4</t>
        </is>
      </c>
      <c r="N22" s="9">
        <f>SUMIFS('Task Breakdown'!$J:$J,'Task Breakdown'!$L:$L,$C22,'Task Breakdown'!$M:$M,$F22)</f>
        <v/>
      </c>
      <c r="O22" s="9">
        <f>N22/8</f>
        <v/>
      </c>
      <c r="P22" s="8" t="inlineStr"/>
    </row>
    <row r="23" ht="62" customHeight="1">
      <c r="A23" s="13" t="n">
        <v>22</v>
      </c>
      <c r="B23" s="13" t="inlineStr">
        <is>
          <t>Epic 9</t>
        </is>
      </c>
      <c r="C23" s="13" t="inlineStr">
        <is>
          <t>ASWD-9</t>
        </is>
      </c>
      <c r="D23" s="13" t="inlineStr">
        <is>
          <t>Device Management</t>
        </is>
      </c>
      <c r="E23" s="13" t="inlineStr"/>
      <c r="F23" s="13" t="inlineStr">
        <is>
          <t>F1</t>
        </is>
      </c>
      <c r="G23" s="8" t="inlineStr">
        <is>
          <t>Create, view, edit and delete screening devices</t>
        </is>
      </c>
      <c r="H23" s="8" t="inlineStr">
        <is>
          <t>Create `Devices` and related tables -&gt; View the device list with Name / Serial / Last Seen -&gt; Add, edit and delete a device -&gt; Wire this screen's Add/Edit/Delete and Save/Revert/Undo onto Epic 2 F2's shared framework, replacing any local copy</t>
        </is>
      </c>
      <c r="I23" s="8" t="inlineStr">
        <is>
          <t>GID-254919, GID-254920, GID-254921, GID-254922</t>
        </is>
      </c>
      <c r="J23" s="13" t="inlineStr">
        <is>
          <t>Yes</t>
        </is>
      </c>
      <c r="K23" s="13" t="inlineStr">
        <is>
          <t>Medium</t>
        </is>
      </c>
      <c r="L23" s="13" t="inlineStr">
        <is>
          <t>Yet to start</t>
        </is>
      </c>
      <c r="M23" s="13" t="inlineStr">
        <is>
          <t>M4</t>
        </is>
      </c>
      <c r="N23" s="9">
        <f>SUMIFS('Task Breakdown'!$J:$J,'Task Breakdown'!$L:$L,$C23,'Task Breakdown'!$M:$M,$F23)</f>
        <v/>
      </c>
      <c r="O23" s="9">
        <f>N23/8</f>
        <v/>
      </c>
      <c r="P23" s="8" t="inlineStr"/>
    </row>
    <row r="24" ht="62" customHeight="1">
      <c r="A24" s="13" t="n">
        <v>23</v>
      </c>
      <c r="B24" s="13" t="inlineStr">
        <is>
          <t>Epic 9</t>
        </is>
      </c>
      <c r="C24" s="13" t="inlineStr">
        <is>
          <t>ASWD-9</t>
        </is>
      </c>
      <c r="D24" s="13" t="inlineStr">
        <is>
          <t>Device Management</t>
        </is>
      </c>
      <c r="E24" s="13" t="inlineStr"/>
      <c r="F24" s="13" t="inlineStr">
        <is>
          <t>F2</t>
        </is>
      </c>
      <c r="G24" s="8" t="inlineStr">
        <is>
          <t>Assign users and facilities to a device</t>
        </is>
      </c>
      <c r="H24" s="8" t="inlineStr">
        <is>
          <t>GID-254923 -&gt; GID-254924</t>
        </is>
      </c>
      <c r="I24" s="8" t="inlineStr">
        <is>
          <t>GID-254923, GID-254924</t>
        </is>
      </c>
      <c r="J24" s="13" t="inlineStr"/>
      <c r="K24" s="13" t="inlineStr">
        <is>
          <t>Medium</t>
        </is>
      </c>
      <c r="L24" s="13" t="inlineStr">
        <is>
          <t>Yet to start</t>
        </is>
      </c>
      <c r="M24" s="13" t="inlineStr">
        <is>
          <t>M4</t>
        </is>
      </c>
      <c r="N24" s="9">
        <f>SUMIFS('Task Breakdown'!$J:$J,'Task Breakdown'!$L:$L,$C24,'Task Breakdown'!$M:$M,$F24)</f>
        <v/>
      </c>
      <c r="O24" s="9">
        <f>N24/8</f>
        <v/>
      </c>
      <c r="P24" s="8" t="inlineStr"/>
    </row>
    <row r="25" ht="62" customHeight="1">
      <c r="A25" s="13" t="n">
        <v>24</v>
      </c>
      <c r="B25" s="13" t="inlineStr">
        <is>
          <t>Epic 9</t>
        </is>
      </c>
      <c r="C25" s="13" t="inlineStr">
        <is>
          <t>ASWD-9</t>
        </is>
      </c>
      <c r="D25" s="13" t="inlineStr">
        <is>
          <t>Device Management</t>
        </is>
      </c>
      <c r="E25" s="13" t="inlineStr"/>
      <c r="F25" s="13" t="inlineStr">
        <is>
          <t>F3</t>
        </is>
      </c>
      <c r="G25" s="8" t="inlineStr">
        <is>
          <t>Configure on-device settings and show device system information</t>
        </is>
      </c>
      <c r="H25" s="8" t="inlineStr">
        <is>
          <t>Configure the 7 device settings -&gt; Last Seen, Last Updated, Hardware Version, Firmware Version</t>
        </is>
      </c>
      <c r="I25" s="8" t="inlineStr">
        <is>
          <t>GID-254925, GID-254926</t>
        </is>
      </c>
      <c r="J25" s="13" t="inlineStr"/>
      <c r="K25" s="13" t="inlineStr">
        <is>
          <t>Low</t>
        </is>
      </c>
      <c r="L25" s="13" t="inlineStr">
        <is>
          <t>Yet to start</t>
        </is>
      </c>
      <c r="M25" s="13" t="inlineStr">
        <is>
          <t>M4</t>
        </is>
      </c>
      <c r="N25" s="9">
        <f>SUMIFS('Task Breakdown'!$J:$J,'Task Breakdown'!$L:$L,$C25,'Task Breakdown'!$M:$M,$F25)</f>
        <v/>
      </c>
      <c r="O25" s="9">
        <f>N25/8</f>
        <v/>
      </c>
      <c r="P25" s="8" t="inlineStr">
        <is>
          <t>Blocked pending a customer answer, see the plan section 8.</t>
        </is>
      </c>
    </row>
    <row r="26" ht="62" customHeight="1">
      <c r="A26" s="13" t="n">
        <v>25</v>
      </c>
      <c r="B26" s="13" t="inlineStr">
        <is>
          <t>Epic 10</t>
        </is>
      </c>
      <c r="C26" s="13" t="inlineStr">
        <is>
          <t>ASWD-10</t>
        </is>
      </c>
      <c r="D26" s="13" t="inlineStr">
        <is>
          <t>Site Management</t>
        </is>
      </c>
      <c r="E26" s="13" t="inlineStr"/>
      <c r="F26" s="13" t="inlineStr">
        <is>
          <t>F1</t>
        </is>
      </c>
      <c r="G26" s="8" t="inlineStr">
        <is>
          <t>Create, view, edit and delete sites, and set what syncs to devices</t>
        </is>
      </c>
      <c r="H26" s="8" t="inlineStr">
        <is>
          <t>Create the `Sites` table -&gt; View, add, edit and delete sites with Name / Description / Code -&gt; Wire this screen's Add/Edit/Delete and Save/Revert/Undo onto Epic 2 F2's shared framework, replacing any local copy -&gt; Setting for whether the site and facility list is pushed to devices during synchronisation — cannot be finished until Epic 21</t>
        </is>
      </c>
      <c r="I26" s="8" t="inlineStr">
        <is>
          <t>GID-254927, GID-254928, GID-254929, GID-254930, GID-254931, GID-255001, GID-255002</t>
        </is>
      </c>
      <c r="J26" s="13" t="inlineStr">
        <is>
          <t>Yes</t>
        </is>
      </c>
      <c r="K26" s="13" t="inlineStr">
        <is>
          <t>Medium</t>
        </is>
      </c>
      <c r="L26" s="13" t="inlineStr">
        <is>
          <t>Yet to start</t>
        </is>
      </c>
      <c r="M26" s="13" t="inlineStr">
        <is>
          <t>M4</t>
        </is>
      </c>
      <c r="N26" s="9">
        <f>SUMIFS('Task Breakdown'!$J:$J,'Task Breakdown'!$L:$L,$C26,'Task Breakdown'!$M:$M,$F26)</f>
        <v/>
      </c>
      <c r="O26" s="9">
        <f>N26/8</f>
        <v/>
      </c>
      <c r="P26" s="8" t="inlineStr"/>
    </row>
    <row r="27" ht="62" customHeight="1">
      <c r="A27" s="13" t="n">
        <v>26</v>
      </c>
      <c r="B27" s="13" t="inlineStr">
        <is>
          <t>Epic 10</t>
        </is>
      </c>
      <c r="C27" s="13" t="inlineStr">
        <is>
          <t>ASWD-10</t>
        </is>
      </c>
      <c r="D27" s="13" t="inlineStr">
        <is>
          <t>Site Management</t>
        </is>
      </c>
      <c r="E27" s="13" t="inlineStr"/>
      <c r="F27" s="13" t="inlineStr">
        <is>
          <t>F2</t>
        </is>
      </c>
      <c r="G27" s="8" t="inlineStr">
        <is>
          <t>Shared “can this record be deleted?” check reused by seven screens</t>
        </is>
      </c>
      <c r="H27" s="8" t="inlineStr">
        <is>
          <t>One shared rule set for "can this record be deleted?", reused by Facility, Location, Profile, Device, Protocol, Risk Factor and Comment</t>
        </is>
      </c>
      <c r="I27" s="8" t="inlineStr">
        <is>
          <t>Enabler - no requirement</t>
        </is>
      </c>
      <c r="J27" s="13" t="inlineStr"/>
      <c r="K27" s="13" t="inlineStr">
        <is>
          <t>Medium</t>
        </is>
      </c>
      <c r="L27" s="13" t="inlineStr">
        <is>
          <t>Yet to start</t>
        </is>
      </c>
      <c r="M27" s="13" t="inlineStr">
        <is>
          <t>M4</t>
        </is>
      </c>
      <c r="N27" s="9">
        <f>SUMIFS('Task Breakdown'!$J:$J,'Task Breakdown'!$L:$L,$C27,'Task Breakdown'!$M:$M,$F27)</f>
        <v/>
      </c>
      <c r="O27" s="9">
        <f>N27/8</f>
        <v/>
      </c>
      <c r="P27" s="8" t="inlineStr"/>
    </row>
    <row r="28" ht="62" customHeight="1">
      <c r="A28" s="13" t="n">
        <v>27</v>
      </c>
      <c r="B28" s="13" t="inlineStr">
        <is>
          <t>Epic 11</t>
        </is>
      </c>
      <c r="C28" s="13" t="inlineStr">
        <is>
          <t>ASWD-11</t>
        </is>
      </c>
      <c r="D28" s="13" t="inlineStr">
        <is>
          <t>Facility Management</t>
        </is>
      </c>
      <c r="E28" s="13" t="inlineStr"/>
      <c r="F28" s="13" t="inlineStr">
        <is>
          <t>F1</t>
        </is>
      </c>
      <c r="G28" s="8" t="inlineStr">
        <is>
          <t>Create, view, edit and delete facilities</t>
        </is>
      </c>
      <c r="H28" s="8" t="inlineStr">
        <is>
          <t>Create the `Facilities` table -&gt; View, add, edit and delete facilities with Name / Description / Code / Site / Location Type -&gt; Reuse Epic 10's "in use" check -&gt; Wire this screen's Add/Edit/Delete and Save/Revert/Undo onto Epic 2 F2's shared framework, replacing any local copy</t>
        </is>
      </c>
      <c r="I28" s="8" t="inlineStr">
        <is>
          <t>GID-254932, GID-254933, GID-254934, GID-254935, GID-254936</t>
        </is>
      </c>
      <c r="J28" s="13" t="inlineStr">
        <is>
          <t>Yes</t>
        </is>
      </c>
      <c r="K28" s="13" t="inlineStr">
        <is>
          <t>Medium</t>
        </is>
      </c>
      <c r="L28" s="13" t="inlineStr">
        <is>
          <t>Yet to start</t>
        </is>
      </c>
      <c r="M28" s="13" t="inlineStr">
        <is>
          <t>M4</t>
        </is>
      </c>
      <c r="N28" s="9">
        <f>SUMIFS('Task Breakdown'!$J:$J,'Task Breakdown'!$L:$L,$C28,'Task Breakdown'!$M:$M,$F28)</f>
        <v/>
      </c>
      <c r="O28" s="9">
        <f>N28/8</f>
        <v/>
      </c>
      <c r="P28" s="8" t="inlineStr"/>
    </row>
    <row r="29" ht="62" customHeight="1">
      <c r="A29" s="13" t="n">
        <v>28</v>
      </c>
      <c r="B29" s="13" t="inlineStr">
        <is>
          <t>Epic 12</t>
        </is>
      </c>
      <c r="C29" s="13" t="inlineStr">
        <is>
          <t>ASWD-12</t>
        </is>
      </c>
      <c r="D29" s="13" t="inlineStr">
        <is>
          <t>Location Management</t>
        </is>
      </c>
      <c r="E29" s="13" t="inlineStr"/>
      <c r="F29" s="13" t="inlineStr">
        <is>
          <t>F1</t>
        </is>
      </c>
      <c r="G29" s="8" t="inlineStr">
        <is>
          <t>Create, view, edit and delete locations, and assign one to every facility</t>
        </is>
      </c>
      <c r="H29" s="8" t="inlineStr">
        <is>
          <t>Create the `Locations` table -&gt; View, add, edit and delete locations with Name / Description / Code -&gt; When adding a location, offer to assign it to every facility -&gt; Wire this screen's Add/Edit/Delete and Save/Revert/Undo onto Epic 2 F2's shared framework, replacing any local copy</t>
        </is>
      </c>
      <c r="I29" s="8" t="inlineStr">
        <is>
          <t>GID-254937, GID-254938, GID-254939, GID-254940, GID-254941, GID-255465</t>
        </is>
      </c>
      <c r="J29" s="13" t="inlineStr">
        <is>
          <t>Yes</t>
        </is>
      </c>
      <c r="K29" s="13" t="inlineStr">
        <is>
          <t>Medium</t>
        </is>
      </c>
      <c r="L29" s="13" t="inlineStr">
        <is>
          <t>Yet to start</t>
        </is>
      </c>
      <c r="M29" s="13" t="inlineStr">
        <is>
          <t>M4</t>
        </is>
      </c>
      <c r="N29" s="9">
        <f>SUMIFS('Task Breakdown'!$J:$J,'Task Breakdown'!$L:$L,$C29,'Task Breakdown'!$M:$M,$F29)</f>
        <v/>
      </c>
      <c r="O29" s="9">
        <f>N29/8</f>
        <v/>
      </c>
      <c r="P29" s="8" t="inlineStr"/>
    </row>
    <row r="30" ht="62" customHeight="1">
      <c r="A30" s="13" t="n">
        <v>29</v>
      </c>
      <c r="B30" s="13" t="inlineStr">
        <is>
          <t>Epic 13</t>
        </is>
      </c>
      <c r="C30" s="13" t="inlineStr">
        <is>
          <t>ASWD-13</t>
        </is>
      </c>
      <c r="D30" s="13" t="inlineStr">
        <is>
          <t>ABR Test Protocol Configuration</t>
        </is>
      </c>
      <c r="E30" s="13" t="inlineStr"/>
      <c r="F30" s="13" t="inlineStr">
        <is>
          <t>F1</t>
        </is>
      </c>
      <c r="G30" s="8" t="inlineStr">
        <is>
          <t>Create, view, edit and delete ABR test protocols</t>
        </is>
      </c>
      <c r="H30" s="8" t="inlineStr">
        <is>
          <t>Create the `ABRProtocols` table with its parameter value ranges -&gt; View, create, edit and delete ABR protocols -&gt; Wire this screen's Add/Edit/Delete and Save/Revert/Undo onto Epic 2 F2's shared framework, replacing any local copy</t>
        </is>
      </c>
      <c r="I30" s="8" t="inlineStr">
        <is>
          <t>GID-254942, GID-254943, GID-254944, GID-254945</t>
        </is>
      </c>
      <c r="J30" s="13" t="inlineStr">
        <is>
          <t>Yes</t>
        </is>
      </c>
      <c r="K30" s="13" t="inlineStr">
        <is>
          <t>Medium</t>
        </is>
      </c>
      <c r="L30" s="13" t="inlineStr">
        <is>
          <t>Yet to start</t>
        </is>
      </c>
      <c r="M30" s="13" t="inlineStr">
        <is>
          <t>M4</t>
        </is>
      </c>
      <c r="N30" s="9">
        <f>SUMIFS('Task Breakdown'!$J:$J,'Task Breakdown'!$L:$L,$C30,'Task Breakdown'!$M:$M,$F30)</f>
        <v/>
      </c>
      <c r="O30" s="9">
        <f>N30/8</f>
        <v/>
      </c>
      <c r="P30" s="8" t="inlineStr"/>
    </row>
    <row r="31" ht="62" customHeight="1">
      <c r="A31" s="13" t="n">
        <v>30</v>
      </c>
      <c r="B31" s="13" t="inlineStr">
        <is>
          <t>Epic 14</t>
        </is>
      </c>
      <c r="C31" s="13" t="inlineStr">
        <is>
          <t>ASWD-14</t>
        </is>
      </c>
      <c r="D31" s="13" t="inlineStr">
        <is>
          <t>DPOAE Test Protocol Configuration</t>
        </is>
      </c>
      <c r="E31" s="13" t="inlineStr"/>
      <c r="F31" s="13" t="inlineStr">
        <is>
          <t>F1</t>
        </is>
      </c>
      <c r="G31" s="8" t="inlineStr">
        <is>
          <t>Create, view, edit and delete DPOAE test protocols</t>
        </is>
      </c>
      <c r="H31" s="8" t="inlineStr">
        <is>
          <t>Create the `DPOAEProtocols` table with its parameter value ranges -&gt; View, create, edit and delete DPOAE protocols -&gt; Wire this screen's Add/Edit/Delete and Save/Revert/Undo onto Epic 2 F2's shared framework, replacing any local copy</t>
        </is>
      </c>
      <c r="I31" s="8" t="inlineStr">
        <is>
          <t>GID-254946, GID-254947, GID-254948, GID-254949</t>
        </is>
      </c>
      <c r="J31" s="13" t="inlineStr">
        <is>
          <t>Yes</t>
        </is>
      </c>
      <c r="K31" s="13" t="inlineStr">
        <is>
          <t>Medium</t>
        </is>
      </c>
      <c r="L31" s="13" t="inlineStr">
        <is>
          <t>Yet to start</t>
        </is>
      </c>
      <c r="M31" s="13" t="inlineStr">
        <is>
          <t>M4</t>
        </is>
      </c>
      <c r="N31" s="9">
        <f>SUMIFS('Task Breakdown'!$J:$J,'Task Breakdown'!$L:$L,$C31,'Task Breakdown'!$M:$M,$F31)</f>
        <v/>
      </c>
      <c r="O31" s="9">
        <f>N31/8</f>
        <v/>
      </c>
      <c r="P31" s="8" t="inlineStr"/>
    </row>
    <row r="32" ht="62" customHeight="1">
      <c r="A32" s="13" t="n">
        <v>31</v>
      </c>
      <c r="B32" s="13" t="inlineStr">
        <is>
          <t>Epic 3</t>
        </is>
      </c>
      <c r="C32" s="13" t="inlineStr">
        <is>
          <t>ASWD-32</t>
        </is>
      </c>
      <c r="D32" s="13" t="inlineStr">
        <is>
          <t>Data Exchange: import, export and S4H</t>
        </is>
      </c>
      <c r="E32" s="13" t="inlineStr">
        <is>
          <t>32A</t>
        </is>
      </c>
      <c r="F32" s="13" t="inlineStr">
        <is>
          <t>F1</t>
        </is>
      </c>
      <c r="G32" s="8" t="inlineStr">
        <is>
          <t>Exchange foundation: the record layer, settings, selection and de-identification</t>
        </is>
      </c>
      <c r="H32" s="8" t="inlineStr">
        <is>
          <t>Port the record-description and stream layer from AccuLink `Component.Core/Core/DataExchange` — column attributes, and the flat-file, binary and XML readers and writers (3.0) -&gt; Create `ImportConfiguration` and `ExportConfiguration` and save the settings (1.5) -&gt; Choose the export folder, format, and default format (1.5) -&gt; Export new patients / all patients / selected entries / a test date range (2.0) -&gt; Strip demographics and identifiers before export (1.0) -&gt; Connect every parser and writer to the patient repository, so an import is stored and an export reads real data (1.5)</t>
        </is>
      </c>
      <c r="I32" s="8" t="inlineStr">
        <is>
          <t>GID-256274, GID-256275, GID-256276, GID-256277, GID-256278, GID-256279, GID-256286, GID-256512</t>
        </is>
      </c>
      <c r="J32" s="13" t="inlineStr">
        <is>
          <t>Yes</t>
        </is>
      </c>
      <c r="K32" s="13" t="inlineStr">
        <is>
          <t>High</t>
        </is>
      </c>
      <c r="L32" s="13" t="inlineStr">
        <is>
          <t>Yet to start</t>
        </is>
      </c>
      <c r="M32" s="13" t="inlineStr">
        <is>
          <t>M5</t>
        </is>
      </c>
      <c r="N32" s="9">
        <f>SUMIFS('Task Breakdown'!$J:$J,'Task Breakdown'!$L:$L,$C32,'Task Breakdown'!$M:$M,$F32)</f>
        <v/>
      </c>
      <c r="O32" s="9">
        <f>N32/8</f>
        <v/>
      </c>
      <c r="P32" s="8" t="inlineStr"/>
    </row>
    <row r="33" ht="62" customHeight="1">
      <c r="A33" s="13" t="n">
        <v>32</v>
      </c>
      <c r="B33" s="13" t="inlineStr">
        <is>
          <t>Epic 3</t>
        </is>
      </c>
      <c r="C33" s="13" t="inlineStr">
        <is>
          <t>ASWD-32</t>
        </is>
      </c>
      <c r="D33" s="13" t="inlineStr">
        <is>
          <t>Data Exchange: import, export and S4H</t>
        </is>
      </c>
      <c r="E33" s="13" t="inlineStr">
        <is>
          <t>32A</t>
        </is>
      </c>
      <c r="F33" s="13" t="inlineStr">
        <is>
          <t>F2</t>
        </is>
      </c>
      <c r="G33" s="8" t="inlineStr">
        <is>
          <t>AccuSync XML and JSON — import and export</t>
        </is>
      </c>
      <c r="H33" s="8" t="inlineStr">
        <is>
          <t>Agree and write down the AccuSync XML and JSON layout (1.5) -&gt; AccuSync XML and JSON parsers (2.0) -&gt; AccuSync XML and JSON writers with the required file names (2.0)</t>
        </is>
      </c>
      <c r="I33" s="8" t="inlineStr">
        <is>
          <t>GID-254900, GID-256280, GID-256281</t>
        </is>
      </c>
      <c r="J33" s="13" t="inlineStr"/>
      <c r="K33" s="13" t="inlineStr">
        <is>
          <t>High</t>
        </is>
      </c>
      <c r="L33" s="13" t="inlineStr">
        <is>
          <t>Yet to start</t>
        </is>
      </c>
      <c r="M33" s="13" t="inlineStr">
        <is>
          <t>M5</t>
        </is>
      </c>
      <c r="N33" s="9">
        <f>SUMIFS('Task Breakdown'!$J:$J,'Task Breakdown'!$L:$L,$C33,'Task Breakdown'!$M:$M,$F33)</f>
        <v/>
      </c>
      <c r="O33" s="9">
        <f>N33/8</f>
        <v/>
      </c>
      <c r="P33" s="8" t="inlineStr"/>
    </row>
    <row r="34" ht="62" customHeight="1">
      <c r="A34" s="13" t="n">
        <v>33</v>
      </c>
      <c r="B34" s="13" t="inlineStr">
        <is>
          <t>Epic 3</t>
        </is>
      </c>
      <c r="C34" s="13" t="inlineStr">
        <is>
          <t>ASWD-32</t>
        </is>
      </c>
      <c r="D34" s="13" t="inlineStr">
        <is>
          <t>Data Exchange: import, export and S4H</t>
        </is>
      </c>
      <c r="E34" s="13" t="inlineStr">
        <is>
          <t>32A</t>
        </is>
      </c>
      <c r="F34" s="13" t="inlineStr">
        <is>
          <t>F3</t>
        </is>
      </c>
      <c r="G34" s="8" t="inlineStr">
        <is>
          <t>CSV — import and export</t>
        </is>
      </c>
      <c r="H34" s="8" t="inlineStr">
        <is>
          <t>CSV writer (2.0) -&gt; Export the on-screen patient list to CSV — Phase 1 per Natus, covered by GID-254898, and it already works today (0.5) -&gt; CSV import matching the writer (1.5)</t>
        </is>
      </c>
      <c r="I34" s="8" t="inlineStr">
        <is>
          <t>GID-254898, GID-256284</t>
        </is>
      </c>
      <c r="J34" s="13" t="inlineStr"/>
      <c r="K34" s="13" t="inlineStr">
        <is>
          <t>Low</t>
        </is>
      </c>
      <c r="L34" s="13" t="inlineStr">
        <is>
          <t>Yet to start</t>
        </is>
      </c>
      <c r="M34" s="13" t="inlineStr">
        <is>
          <t>M5</t>
        </is>
      </c>
      <c r="N34" s="9">
        <f>SUMIFS('Task Breakdown'!$J:$J,'Task Breakdown'!$L:$L,$C34,'Task Breakdown'!$M:$M,$F34)</f>
        <v/>
      </c>
      <c r="O34" s="9">
        <f>N34/8</f>
        <v/>
      </c>
      <c r="P34" s="8" t="inlineStr">
        <is>
          <t>Blocked pending a customer answer, see the plan section 8.</t>
        </is>
      </c>
    </row>
    <row r="35" ht="62" customHeight="1">
      <c r="A35" s="13" t="n">
        <v>34</v>
      </c>
      <c r="B35" s="13" t="inlineStr">
        <is>
          <t>Epic 3</t>
        </is>
      </c>
      <c r="C35" s="13" t="inlineStr">
        <is>
          <t>ASWD-32</t>
        </is>
      </c>
      <c r="D35" s="13" t="inlineStr">
        <is>
          <t>Data Exchange: import, export and S4H</t>
        </is>
      </c>
      <c r="E35" s="13" t="inlineStr">
        <is>
          <t>32A</t>
        </is>
      </c>
      <c r="F35" s="13" t="inlineStr">
        <is>
          <t>F4</t>
        </is>
      </c>
      <c r="G35" s="8" t="inlineStr">
        <is>
          <t>ALGO 5 XML and ALGO Pro — import and export</t>
        </is>
      </c>
      <c r="H35" s="8" t="inlineStr">
        <is>
          <t>Test harness plus tests for the three existing parsers (2.0) -&gt; Fix the three format defects found in the samples: ALGO Pro duplicate `RiskFactors` keys, the missing ABR/DPOAE marker, and six fields encoded as text in one format and numbers in the other (2.0) -&gt; ALGO 5 XML writer with the required file name (1.5) -&gt; ALGO Pro writer (1.5)</t>
        </is>
      </c>
      <c r="I35" s="8" t="inlineStr">
        <is>
          <t>GID-256285</t>
        </is>
      </c>
      <c r="J35" s="13" t="inlineStr"/>
      <c r="K35" s="13" t="inlineStr">
        <is>
          <t>High</t>
        </is>
      </c>
      <c r="L35" s="13" t="inlineStr">
        <is>
          <t>Yet to start</t>
        </is>
      </c>
      <c r="M35" s="13" t="inlineStr">
        <is>
          <t>M5</t>
        </is>
      </c>
      <c r="N35" s="9">
        <f>SUMIFS('Task Breakdown'!$J:$J,'Task Breakdown'!$L:$L,$C35,'Task Breakdown'!$M:$M,$F35)</f>
        <v/>
      </c>
      <c r="O35" s="9">
        <f>N35/8</f>
        <v/>
      </c>
      <c r="P35" s="8" t="inlineStr"/>
    </row>
    <row r="36" ht="62" customHeight="1">
      <c r="A36" s="13" t="n">
        <v>35</v>
      </c>
      <c r="B36" s="13" t="inlineStr">
        <is>
          <t>Epic 3</t>
        </is>
      </c>
      <c r="C36" s="13" t="inlineStr">
        <is>
          <t>ASWD-32</t>
        </is>
      </c>
      <c r="D36" s="13" t="inlineStr">
        <is>
          <t>Data Exchange: import, export and S4H</t>
        </is>
      </c>
      <c r="E36" s="13" t="inlineStr">
        <is>
          <t>32A</t>
        </is>
      </c>
      <c r="F36" s="13" t="inlineStr">
        <is>
          <t>F5</t>
        </is>
      </c>
      <c r="G36" s="8" t="inlineStr">
        <is>
          <t>AccuLink XML — import and export</t>
        </is>
      </c>
      <c r="H36" s="8" t="inlineStr">
        <is>
          <t>AccuLink XML import through the existing parser, with tests (1.5) -&gt; AccuLink XML writer and its typed document, from AccuLink `XmlPatientDataExporter` and the 35 classes generated from `AccuLinkXiMpLe.xsd` (3.0)</t>
        </is>
      </c>
      <c r="I36" s="8" t="inlineStr">
        <is>
          <t>Enabler - no requirement</t>
        </is>
      </c>
      <c r="J36" s="13" t="inlineStr"/>
      <c r="K36" s="13" t="inlineStr">
        <is>
          <t>High</t>
        </is>
      </c>
      <c r="L36" s="13" t="inlineStr">
        <is>
          <t>Yet to start</t>
        </is>
      </c>
      <c r="M36" s="13" t="inlineStr">
        <is>
          <t>M5</t>
        </is>
      </c>
      <c r="N36" s="9">
        <f>SUMIFS('Task Breakdown'!$J:$J,'Task Breakdown'!$L:$L,$C36,'Task Breakdown'!$M:$M,$F36)</f>
        <v/>
      </c>
      <c r="O36" s="9">
        <f>N36/8</f>
        <v/>
      </c>
      <c r="P36" s="8" t="inlineStr"/>
    </row>
    <row r="37" ht="62" customHeight="1">
      <c r="A37" s="13" t="n">
        <v>36</v>
      </c>
      <c r="B37" s="13" t="inlineStr">
        <is>
          <t>Epic 3</t>
        </is>
      </c>
      <c r="C37" s="13" t="inlineStr">
        <is>
          <t>ASWD-32</t>
        </is>
      </c>
      <c r="D37" s="13" t="inlineStr">
        <is>
          <t>Data Exchange: import, export and S4H</t>
        </is>
      </c>
      <c r="E37" s="13" t="inlineStr">
        <is>
          <t>32A</t>
        </is>
      </c>
      <c r="F37" s="13" t="inlineStr">
        <is>
          <t>F6</t>
        </is>
      </c>
      <c r="G37" s="8" t="inlineStr">
        <is>
          <t>HiTrack — export, and pick-list import *(fills PM-40’s Nursery and Race lists; Natus supplied sample pick-list files)</t>
        </is>
      </c>
      <c r="H37" s="8" t="inlineStr">
        <is>
          <t>HiTrack writer, including the duplicate `INTHS.txt` — the 114-column layout comes from AccuLink `HiTrackTest`, so Q3 no longer blocks it (3.0) -&gt; The export rules that go with it: result codes for deceased and discharged patients, risk-factor and comment aggregation, ethnicity and education code maps (2.0) -&gt; HiTrack pick-list import: hospitals, physicians, audiologists, screeners, nursery types and race types (2.5)</t>
        </is>
      </c>
      <c r="I37" s="8" t="inlineStr">
        <is>
          <t>GID-256282</t>
        </is>
      </c>
      <c r="J37" s="13" t="inlineStr"/>
      <c r="K37" s="13" t="inlineStr">
        <is>
          <t>Medium</t>
        </is>
      </c>
      <c r="L37" s="13" t="inlineStr">
        <is>
          <t>Yet to start</t>
        </is>
      </c>
      <c r="M37" s="13" t="inlineStr">
        <is>
          <t>M5</t>
        </is>
      </c>
      <c r="N37" s="9">
        <f>SUMIFS('Task Breakdown'!$J:$J,'Task Breakdown'!$L:$L,$C37,'Task Breakdown'!$M:$M,$F37)</f>
        <v/>
      </c>
      <c r="O37" s="9">
        <f>N37/8</f>
        <v/>
      </c>
      <c r="P37" s="8" t="inlineStr"/>
    </row>
    <row r="38" ht="62" customHeight="1">
      <c r="A38" s="13" t="n">
        <v>37</v>
      </c>
      <c r="B38" s="13" t="inlineStr">
        <is>
          <t>Epic 3</t>
        </is>
      </c>
      <c r="C38" s="13" t="inlineStr">
        <is>
          <t>ASWD-32</t>
        </is>
      </c>
      <c r="D38" s="13" t="inlineStr">
        <is>
          <t>Data Exchange: import, export and S4H</t>
        </is>
      </c>
      <c r="E38" s="13" t="inlineStr">
        <is>
          <t>32A</t>
        </is>
      </c>
      <c r="F38" s="13" t="inlineStr">
        <is>
          <t>F7</t>
        </is>
      </c>
      <c r="G38" s="8" t="inlineStr">
        <is>
          <t>OZ — binary export</t>
        </is>
      </c>
      <c r="H38" s="8" t="inlineStr">
        <is>
          <t>OZ writer — the binary record layout comes from AccuLink `Oz7Test`, so Q3 no longer blocks it (2.5) -&gt;  AccuLink has no OZ importer and none is specified. X1 must be answered before any OZ import is planned (0.5)</t>
        </is>
      </c>
      <c r="I38" s="8" t="inlineStr">
        <is>
          <t>GID-256283</t>
        </is>
      </c>
      <c r="J38" s="13" t="inlineStr"/>
      <c r="K38" s="13" t="inlineStr">
        <is>
          <t>Medium</t>
        </is>
      </c>
      <c r="L38" s="13" t="inlineStr">
        <is>
          <t>Yet to start</t>
        </is>
      </c>
      <c r="M38" s="13" t="inlineStr">
        <is>
          <t>M5</t>
        </is>
      </c>
      <c r="N38" s="9">
        <f>SUMIFS('Task Breakdown'!$J:$J,'Task Breakdown'!$L:$L,$C38,'Task Breakdown'!$M:$M,$F38)</f>
        <v/>
      </c>
      <c r="O38" s="9">
        <f>N38/8</f>
        <v/>
      </c>
      <c r="P38" s="8" t="inlineStr"/>
    </row>
    <row r="39" ht="62" customHeight="1">
      <c r="A39" s="13" t="n">
        <v>38</v>
      </c>
      <c r="B39" s="13" t="inlineStr">
        <is>
          <t>Epic 3</t>
        </is>
      </c>
      <c r="C39" s="13" t="inlineStr">
        <is>
          <t>ASWD-32</t>
        </is>
      </c>
      <c r="D39" s="13" t="inlineStr">
        <is>
          <t>Data Exchange: import, export and S4H</t>
        </is>
      </c>
      <c r="E39" s="13" t="inlineStr">
        <is>
          <t>32B</t>
        </is>
      </c>
      <c r="F39" s="13" t="inlineStr">
        <is>
          <t>F8</t>
        </is>
      </c>
      <c r="G39" s="8" t="inlineStr">
        <is>
          <t>S4H: the connector and the sync engine</t>
        </is>
      </c>
      <c r="H39" s="8" t="inlineStr">
        <is>
          <t>SOAP client for the SEDQ service — the contract is `northgate.wsdl` with `uploadData` and `downloadSyncData`, so the 3-day discovery is replaced by a read (2.0) -&gt; Client plus a screen to set the web service URL (1.5) -&gt; The shared sync framework and its trigger rules (2.0) -&gt;  Send patient and test data to an external system over a web service (1.0)</t>
        </is>
      </c>
      <c r="I39" s="8" t="inlineStr">
        <is>
          <t>GID-254899, GID-254974</t>
        </is>
      </c>
      <c r="J39" s="13" t="inlineStr"/>
      <c r="K39" s="13" t="inlineStr">
        <is>
          <t>High</t>
        </is>
      </c>
      <c r="L39" s="13" t="inlineStr">
        <is>
          <t>Yet to start</t>
        </is>
      </c>
      <c r="M39" s="13" t="inlineStr">
        <is>
          <t>M7</t>
        </is>
      </c>
      <c r="N39" s="9">
        <f>SUMIFS('Task Breakdown'!$J:$J,'Task Breakdown'!$L:$L,$C39,'Task Breakdown'!$M:$M,$F39)</f>
        <v/>
      </c>
      <c r="O39" s="9">
        <f>N39/8</f>
        <v/>
      </c>
      <c r="P39" s="8" t="inlineStr">
        <is>
          <t>Blocked pending a customer answer, see the plan section 8.</t>
        </is>
      </c>
    </row>
    <row r="40" ht="62" customHeight="1">
      <c r="A40" s="13" t="n">
        <v>39</v>
      </c>
      <c r="B40" s="13" t="inlineStr">
        <is>
          <t>Epic 3</t>
        </is>
      </c>
      <c r="C40" s="13" t="inlineStr">
        <is>
          <t>ASWD-32</t>
        </is>
      </c>
      <c r="D40" s="13" t="inlineStr">
        <is>
          <t>Data Exchange: import, export and S4H</t>
        </is>
      </c>
      <c r="E40" s="13" t="inlineStr">
        <is>
          <t>32B</t>
        </is>
      </c>
      <c r="F40" s="13" t="inlineStr">
        <is>
          <t>F9</t>
        </is>
      </c>
      <c r="G40" s="8" t="inlineStr">
        <is>
          <t>S4H: receive users, devices, facilities and risk factors</t>
        </is>
      </c>
      <c r="H40" s="8" t="inlineStr">
        <is>
          <t>Receive the user list and store username and user ID, read-only (2.0) -&gt; Auto-deactivate and reactivate, default profile and password, block admin adding users (2.5) -&gt; Receive devices from S4H: store device ID, name and serial number, block local edits to them, and follow the service’s active and inactive status (2.0) -&gt; Receive facilities from S4H and keep them in step, read-only locally (2.0) -&gt; Receive risk factors from S4H and keep them in step, read-only locally (2.0)</t>
        </is>
      </c>
      <c r="I40" s="8" t="inlineStr">
        <is>
          <t>GID-254975, GID-254977, GID-254978, GID-254979, GID-254980, GID-254981, GID-254982, GID-254983, GID-254984, GID-254985, GID-254986, GID-254987, GID-254988, GID-254989, GID-254990, GID-254991, GID-254992, GID-254993, GID-254994, GID-254995</t>
        </is>
      </c>
      <c r="J40" s="13" t="inlineStr"/>
      <c r="K40" s="13" t="inlineStr">
        <is>
          <t>High</t>
        </is>
      </c>
      <c r="L40" s="13" t="inlineStr">
        <is>
          <t>Yet to start</t>
        </is>
      </c>
      <c r="M40" s="13" t="inlineStr">
        <is>
          <t>M7</t>
        </is>
      </c>
      <c r="N40" s="9">
        <f>SUMIFS('Task Breakdown'!$J:$J,'Task Breakdown'!$L:$L,$C40,'Task Breakdown'!$M:$M,$F40)</f>
        <v/>
      </c>
      <c r="O40" s="9">
        <f>N40/8</f>
        <v/>
      </c>
      <c r="P40" s="8" t="inlineStr"/>
    </row>
    <row r="41" ht="62" customHeight="1">
      <c r="A41" s="13" t="n">
        <v>40</v>
      </c>
      <c r="B41" s="13" t="inlineStr">
        <is>
          <t>Epic 3</t>
        </is>
      </c>
      <c r="C41" s="13" t="inlineStr">
        <is>
          <t>ASWD-32</t>
        </is>
      </c>
      <c r="D41" s="13" t="inlineStr">
        <is>
          <t>Data Exchange: import, export and S4H</t>
        </is>
      </c>
      <c r="E41" s="13" t="inlineStr">
        <is>
          <t>32B</t>
        </is>
      </c>
      <c r="F41" s="13" t="inlineStr">
        <is>
          <t>F10</t>
        </is>
      </c>
      <c r="G41" s="8" t="inlineStr">
        <is>
          <t>S4H: send identifiers, results and NHSP wording</t>
        </is>
      </c>
      <c r="H41" s="8" t="inlineStr">
        <is>
          <t>Site ID, device ID, and inpatient/outpatient facility lists (2.5) -&gt; Test results including binary waveform data (3.0) -&gt; NHSP wording: Pass → Clear Response, Refer → No Clear Response, Surname, Forename (1.5)</t>
        </is>
      </c>
      <c r="I41" s="8" t="inlineStr">
        <is>
          <t>GID-254971, GID-254972, GID-254973, GID-254976</t>
        </is>
      </c>
      <c r="J41" s="13" t="inlineStr"/>
      <c r="K41" s="13" t="inlineStr">
        <is>
          <t>High</t>
        </is>
      </c>
      <c r="L41" s="13" t="inlineStr">
        <is>
          <t>Yet to start</t>
        </is>
      </c>
      <c r="M41" s="13" t="inlineStr">
        <is>
          <t>M7</t>
        </is>
      </c>
      <c r="N41" s="9">
        <f>SUMIFS('Task Breakdown'!$J:$J,'Task Breakdown'!$L:$L,$C41,'Task Breakdown'!$M:$M,$F41)</f>
        <v/>
      </c>
      <c r="O41" s="9">
        <f>N41/8</f>
        <v/>
      </c>
      <c r="P41" s="8" t="inlineStr"/>
    </row>
    <row r="42" ht="62" customHeight="1">
      <c r="A42" s="13" t="n">
        <v>41</v>
      </c>
      <c r="B42" s="13" t="inlineStr">
        <is>
          <t>Epic 18</t>
        </is>
      </c>
      <c r="C42" s="13" t="inlineStr">
        <is>
          <t>ASWD-18</t>
        </is>
      </c>
      <c r="D42" s="13" t="inlineStr">
        <is>
          <t>Report Generation</t>
        </is>
      </c>
      <c r="E42" s="13" t="inlineStr"/>
      <c r="F42" s="13" t="inlineStr">
        <is>
          <t>F1</t>
        </is>
      </c>
      <c r="G42" s="8" t="inlineStr">
        <is>
          <t>Choose the reporting library</t>
        </is>
      </c>
      <c r="H42" s="8" t="inlineStr">
        <is>
          <t>1.5-day timeboxed investigation — there is no reporting library in the solution today, and the choice constrains everything below (1.5)</t>
        </is>
      </c>
      <c r="I42" s="8" t="inlineStr">
        <is>
          <t>Enabler - no requirement</t>
        </is>
      </c>
      <c r="J42" s="13" t="inlineStr"/>
      <c r="K42" s="13" t="inlineStr">
        <is>
          <t>Medium</t>
        </is>
      </c>
      <c r="L42" s="13" t="inlineStr">
        <is>
          <t>Yet to start</t>
        </is>
      </c>
      <c r="M42" s="13" t="inlineStr">
        <is>
          <t>M6</t>
        </is>
      </c>
      <c r="N42" s="9">
        <f>SUMIFS('Task Breakdown'!$J:$J,'Task Breakdown'!$L:$L,$C42,'Task Breakdown'!$M:$M,$F42)</f>
        <v/>
      </c>
      <c r="O42" s="9">
        <f>N42/8</f>
        <v/>
      </c>
      <c r="P42" s="8" t="inlineStr"/>
    </row>
    <row r="43" ht="62" customHeight="1">
      <c r="A43" s="13" t="n">
        <v>42</v>
      </c>
      <c r="B43" s="13" t="inlineStr">
        <is>
          <t>Epic 18</t>
        </is>
      </c>
      <c r="C43" s="13" t="inlineStr">
        <is>
          <t>ASWD-18</t>
        </is>
      </c>
      <c r="D43" s="13" t="inlineStr">
        <is>
          <t>Report Generation</t>
        </is>
      </c>
      <c r="E43" s="13" t="inlineStr"/>
      <c r="F43" s="13" t="inlineStr">
        <is>
          <t>F2</t>
        </is>
      </c>
      <c r="G43" s="8" t="inlineStr">
        <is>
          <t>Generate, preview and print a patient report</t>
        </is>
      </c>
      <c r="H43" s="8" t="inlineStr">
        <is>
          <t>Pick a patient, choose selected tests or all tests, and choose one of the predefined report types (3.0) -&gt; Render the report with demographic information and test result details (6.0) -&gt; The ten predefined report templates — Phase 1 per Natus, needs a new requirement naming the ten (6.0) -&gt; Preview it on screen before committing to paper (1.5) -&gt; Print, with a progress indicator (2.0)</t>
        </is>
      </c>
      <c r="I43" s="8" t="inlineStr">
        <is>
          <t>GID-254894, GID-255112</t>
        </is>
      </c>
      <c r="J43" s="13" t="inlineStr">
        <is>
          <t>Yes</t>
        </is>
      </c>
      <c r="K43" s="13" t="inlineStr">
        <is>
          <t>Medium</t>
        </is>
      </c>
      <c r="L43" s="13" t="inlineStr">
        <is>
          <t>Yet to start</t>
        </is>
      </c>
      <c r="M43" s="13" t="inlineStr">
        <is>
          <t>M6</t>
        </is>
      </c>
      <c r="N43" s="9">
        <f>SUMIFS('Task Breakdown'!$J:$J,'Task Breakdown'!$L:$L,$C43,'Task Breakdown'!$M:$M,$F43)</f>
        <v/>
      </c>
      <c r="O43" s="9">
        <f>N43/8</f>
        <v/>
      </c>
      <c r="P43" s="8" t="inlineStr"/>
    </row>
    <row r="44" ht="62" customHeight="1">
      <c r="A44" s="13" t="n">
        <v>43</v>
      </c>
      <c r="B44" s="13" t="inlineStr">
        <is>
          <t>Epic 18</t>
        </is>
      </c>
      <c r="C44" s="13" t="inlineStr">
        <is>
          <t>ASWD-18</t>
        </is>
      </c>
      <c r="D44" s="13" t="inlineStr">
        <is>
          <t>Report Generation</t>
        </is>
      </c>
      <c r="E44" s="13" t="inlineStr"/>
      <c r="F44" s="13" t="inlineStr">
        <is>
          <t>F3</t>
        </is>
      </c>
      <c r="G44" s="8" t="inlineStr">
        <is>
          <t>Save a report to a file</t>
        </is>
      </c>
      <c r="H44" s="8" t="inlineStr">
        <is>
          <t>Export the report to a supported file format — the format list is still needed (3.0)</t>
        </is>
      </c>
      <c r="I44" s="8" t="inlineStr">
        <is>
          <t>GID-255113</t>
        </is>
      </c>
      <c r="J44" s="13" t="inlineStr"/>
      <c r="K44" s="13" t="inlineStr">
        <is>
          <t>Medium</t>
        </is>
      </c>
      <c r="L44" s="13" t="inlineStr">
        <is>
          <t>Yet to start</t>
        </is>
      </c>
      <c r="M44" s="13" t="inlineStr">
        <is>
          <t>M6</t>
        </is>
      </c>
      <c r="N44" s="9">
        <f>SUMIFS('Task Breakdown'!$J:$J,'Task Breakdown'!$L:$L,$C44,'Task Breakdown'!$M:$M,$F44)</f>
        <v/>
      </c>
      <c r="O44" s="9">
        <f>N44/8</f>
        <v/>
      </c>
      <c r="P44" s="8" t="inlineStr">
        <is>
          <t>Blocked pending a customer answer, see the plan section 8.</t>
        </is>
      </c>
    </row>
    <row r="45" ht="62" customHeight="1">
      <c r="A45" s="13" t="n">
        <v>44</v>
      </c>
      <c r="B45" s="13" t="inlineStr">
        <is>
          <t>Epic 18</t>
        </is>
      </c>
      <c r="C45" s="13" t="inlineStr">
        <is>
          <t>ASWD-18</t>
        </is>
      </c>
      <c r="D45" s="13" t="inlineStr">
        <is>
          <t>Report Generation</t>
        </is>
      </c>
      <c r="E45" s="13" t="inlineStr"/>
      <c r="F45" s="13" t="inlineStr">
        <is>
          <t>F4</t>
        </is>
      </c>
      <c r="G45" s="8" t="inlineStr">
        <is>
          <t>Set the report layout: logo and paper size</t>
        </is>
      </c>
      <c r="H45" s="8" t="inlineStr">
        <is>
          <t>Add a logo from a graphics file and choose the paper format (3.0) -&gt; Apply the layout to every report type, and show the change in the preview (2.0)</t>
        </is>
      </c>
      <c r="I45" s="8" t="inlineStr">
        <is>
          <t>GID-254965</t>
        </is>
      </c>
      <c r="J45" s="13" t="inlineStr"/>
      <c r="K45" s="13" t="inlineStr">
        <is>
          <t>Medium</t>
        </is>
      </c>
      <c r="L45" s="13" t="inlineStr">
        <is>
          <t>Yet to start</t>
        </is>
      </c>
      <c r="M45" s="13" t="inlineStr">
        <is>
          <t>M6</t>
        </is>
      </c>
      <c r="N45" s="9">
        <f>SUMIFS('Task Breakdown'!$J:$J,'Task Breakdown'!$L:$L,$C45,'Task Breakdown'!$M:$M,$F45)</f>
        <v/>
      </c>
      <c r="O45" s="9">
        <f>N45/8</f>
        <v/>
      </c>
      <c r="P45" s="8" t="inlineStr"/>
    </row>
    <row r="46" ht="62" customHeight="1">
      <c r="A46" s="13" t="n">
        <v>45</v>
      </c>
      <c r="B46" s="13" t="inlineStr">
        <is>
          <t>Epic 19</t>
        </is>
      </c>
      <c r="C46" s="13" t="inlineStr">
        <is>
          <t>ASWD-19</t>
        </is>
      </c>
      <c r="D46" s="13" t="inlineStr">
        <is>
          <t>Language</t>
        </is>
      </c>
      <c r="E46" s="13" t="inlineStr">
        <is>
          <t>19A</t>
        </is>
      </c>
      <c r="F46" s="13" t="inlineStr">
        <is>
          <t>F1</t>
        </is>
      </c>
      <c r="G46" s="8" t="inlineStr">
        <is>
          <t>Investigate and build the language switching infrastructure</t>
        </is>
      </c>
      <c r="H46" s="8" t="inlineStr">
        <is>
          <t>2-day timeboxed look at satellite assemblies, per-user language, and Chinese and Japanese text layout — now in scope, not deferred (2.0) -&gt; Language switching, English as default, language picker and confirmation prompt (3.0)</t>
        </is>
      </c>
      <c r="I46" s="8" t="inlineStr">
        <is>
          <t>GID-254967, GID-254970, GID-256513</t>
        </is>
      </c>
      <c r="J46" s="13" t="inlineStr">
        <is>
          <t>Yes</t>
        </is>
      </c>
      <c r="K46" s="13" t="inlineStr">
        <is>
          <t>Medium</t>
        </is>
      </c>
      <c r="L46" s="13" t="inlineStr">
        <is>
          <t>Yet to start</t>
        </is>
      </c>
      <c r="M46" s="13" t="inlineStr">
        <is>
          <t>M6</t>
        </is>
      </c>
      <c r="N46" s="9">
        <f>SUMIFS('Task Breakdown'!$J:$J,'Task Breakdown'!$L:$L,$C46,'Task Breakdown'!$M:$M,$F46)</f>
        <v/>
      </c>
      <c r="O46" s="9">
        <f>N46/8</f>
        <v/>
      </c>
      <c r="P46" s="8" t="inlineStr"/>
    </row>
    <row r="47" ht="62" customHeight="1">
      <c r="A47" s="13" t="n">
        <v>46</v>
      </c>
      <c r="B47" s="13" t="inlineStr">
        <is>
          <t>Epic 19</t>
        </is>
      </c>
      <c r="C47" s="13" t="inlineStr">
        <is>
          <t>ASWD-19</t>
        </is>
      </c>
      <c r="D47" s="13" t="inlineStr">
        <is>
          <t>Language</t>
        </is>
      </c>
      <c r="E47" s="13" t="inlineStr">
        <is>
          <t>19A</t>
        </is>
      </c>
      <c r="F47" s="13" t="inlineStr">
        <is>
          <t>F2</t>
        </is>
      </c>
      <c r="G47" s="8" t="inlineStr">
        <is>
          <t>Merge the duplicated strings and cover every screen</t>
        </is>
      </c>
      <c r="H47" s="8" t="inlineStr">
        <is>
          <t>The same text exists twice — 1,206 entries in `AccuSync.WPF` and 1,213 in `AccuSync.Application`, which de-duplicate to 860 distinct strings. Merge them, and move English text out of the service classes (3.0) -&gt; Go through all text, messages, menus, prompts and results (2.5)</t>
        </is>
      </c>
      <c r="I47" s="8" t="inlineStr">
        <is>
          <t>GID-254969</t>
        </is>
      </c>
      <c r="J47" s="13" t="inlineStr"/>
      <c r="K47" s="13" t="inlineStr">
        <is>
          <t>Medium</t>
        </is>
      </c>
      <c r="L47" s="13" t="inlineStr">
        <is>
          <t>Yet to start</t>
        </is>
      </c>
      <c r="M47" s="13" t="inlineStr">
        <is>
          <t>M6</t>
        </is>
      </c>
      <c r="N47" s="9">
        <f>SUMIFS('Task Breakdown'!$J:$J,'Task Breakdown'!$L:$L,$C47,'Task Breakdown'!$M:$M,$F47)</f>
        <v/>
      </c>
      <c r="O47" s="9">
        <f>N47/8</f>
        <v/>
      </c>
      <c r="P47" s="8" t="inlineStr"/>
    </row>
    <row r="48" ht="62" customHeight="1">
      <c r="A48" s="13" t="n">
        <v>47</v>
      </c>
      <c r="B48" s="13" t="inlineStr">
        <is>
          <t>Epic 19</t>
        </is>
      </c>
      <c r="C48" s="13" t="inlineStr">
        <is>
          <t>ASWD-19</t>
        </is>
      </c>
      <c r="D48" s="13" t="inlineStr">
        <is>
          <t>Language</t>
        </is>
      </c>
      <c r="E48" s="13" t="inlineStr">
        <is>
          <t>19A</t>
        </is>
      </c>
      <c r="F48" s="13" t="inlineStr">
        <is>
          <t>F3</t>
        </is>
      </c>
      <c r="G48" s="8" t="inlineStr">
        <is>
          <t>Review and freeze the strings, and produce the translation pack</t>
        </is>
      </c>
      <c r="H48" s="8" t="inlineStr">
        <is>
          <t>Review and finalise all 860 strings before any translation starts — Natus’s condition (2.0) -&gt; Build the pack the distribution partners receive: every string with the screen it appears on, plus a screenshot of each screen — Natus asked for screenshots (1.5) -&gt; Capture the screenshots once the screens are final (1.0) -&gt; Import returned translations and flag anything missing, changed or untranslated (0.5)</t>
        </is>
      </c>
      <c r="I48" s="8" t="inlineStr">
        <is>
          <t>Enabler - no requirement</t>
        </is>
      </c>
      <c r="J48" s="13" t="inlineStr">
        <is>
          <t>Yes</t>
        </is>
      </c>
      <c r="K48" s="13" t="inlineStr">
        <is>
          <t>Medium</t>
        </is>
      </c>
      <c r="L48" s="13" t="inlineStr">
        <is>
          <t>Yet to start</t>
        </is>
      </c>
      <c r="M48" s="13" t="inlineStr">
        <is>
          <t>M6</t>
        </is>
      </c>
      <c r="N48" s="9">
        <f>SUMIFS('Task Breakdown'!$J:$J,'Task Breakdown'!$L:$L,$C48,'Task Breakdown'!$M:$M,$F48)</f>
        <v/>
      </c>
      <c r="O48" s="9">
        <f>N48/8</f>
        <v/>
      </c>
      <c r="P48" s="8" t="inlineStr"/>
    </row>
    <row r="49" ht="62" customHeight="1">
      <c r="A49" s="13" t="n">
        <v>48</v>
      </c>
      <c r="B49" s="13" t="inlineStr">
        <is>
          <t>Epic 19</t>
        </is>
      </c>
      <c r="C49" s="13" t="inlineStr">
        <is>
          <t>ASWD-19</t>
        </is>
      </c>
      <c r="D49" s="13" t="inlineStr">
        <is>
          <t>Language</t>
        </is>
      </c>
      <c r="E49" s="13" t="inlineStr">
        <is>
          <t>19B</t>
        </is>
      </c>
      <c r="F49" s="13" t="inlineStr">
        <is>
          <t>F4</t>
        </is>
      </c>
      <c r="G49" s="8" t="inlineStr">
        <is>
          <t>Phase 1: French, Italian, German, Spanish</t>
        </is>
      </c>
      <c r="H49" s="8" t="inlineStr">
        <is>
          <t>Resource set, load and smoke-test every screen for each of the four (2.0) -&gt; Fix the layout truncation real translations expose — German and French run 20–30% longer than English (1.0)</t>
        </is>
      </c>
      <c r="I49" s="8" t="inlineStr">
        <is>
          <t>GID-254968</t>
        </is>
      </c>
      <c r="J49" s="13" t="inlineStr"/>
      <c r="K49" s="13" t="inlineStr">
        <is>
          <t>Medium</t>
        </is>
      </c>
      <c r="L49" s="13" t="inlineStr">
        <is>
          <t>Yet to start</t>
        </is>
      </c>
      <c r="M49" s="13" t="inlineStr">
        <is>
          <t>M8</t>
        </is>
      </c>
      <c r="N49" s="9">
        <f>SUMIFS('Task Breakdown'!$J:$J,'Task Breakdown'!$L:$L,$C49,'Task Breakdown'!$M:$M,$F49)</f>
        <v/>
      </c>
      <c r="O49" s="9">
        <f>N49/8</f>
        <v/>
      </c>
      <c r="P49" s="8" t="inlineStr"/>
    </row>
    <row r="50" ht="62" customHeight="1">
      <c r="A50" s="13" t="n">
        <v>49</v>
      </c>
      <c r="B50" s="13" t="inlineStr">
        <is>
          <t>Epic 19</t>
        </is>
      </c>
      <c r="C50" s="13" t="inlineStr">
        <is>
          <t>ASWD-19</t>
        </is>
      </c>
      <c r="D50" s="13" t="inlineStr">
        <is>
          <t>Language</t>
        </is>
      </c>
      <c r="E50" s="13" t="inlineStr">
        <is>
          <t>19B</t>
        </is>
      </c>
      <c r="F50" s="13" t="inlineStr">
        <is>
          <t>F5</t>
        </is>
      </c>
      <c r="G50" s="8" t="inlineStr">
        <is>
          <t>Phase 2: Brazilian Portuguese, Chinese (simplified), Chinese (traditional), Japanese</t>
        </is>
      </c>
      <c r="H50" s="8" t="inlineStr">
        <is>
          <t>Resource set, load and smoke-test for each of the four (2.0) -&gt; Chinese and Japanese support: fonts that carry the full character set, text measurement and line breaking, and no character loss through export, report or print (3.0) -&gt; Verify the three dropdown value lists and all validation messages render correctly (1.0)</t>
        </is>
      </c>
      <c r="I50" s="8" t="inlineStr">
        <is>
          <t>Enabler - no requirement</t>
        </is>
      </c>
      <c r="J50" s="13" t="inlineStr"/>
      <c r="K50" s="13" t="inlineStr">
        <is>
          <t>Medium</t>
        </is>
      </c>
      <c r="L50" s="13" t="inlineStr">
        <is>
          <t>Yet to start</t>
        </is>
      </c>
      <c r="M50" s="13" t="inlineStr">
        <is>
          <t>M8</t>
        </is>
      </c>
      <c r="N50" s="9">
        <f>SUMIFS('Task Breakdown'!$J:$J,'Task Breakdown'!$L:$L,$C50,'Task Breakdown'!$M:$M,$F50)</f>
        <v/>
      </c>
      <c r="O50" s="9">
        <f>N50/8</f>
        <v/>
      </c>
      <c r="P50" s="8" t="inlineStr"/>
    </row>
    <row r="51" ht="62" customHeight="1">
      <c r="A51" s="13" t="n">
        <v>50</v>
      </c>
      <c r="B51" s="13" t="inlineStr">
        <is>
          <t>Epic 19</t>
        </is>
      </c>
      <c r="C51" s="13" t="inlineStr">
        <is>
          <t>ASWD-19</t>
        </is>
      </c>
      <c r="D51" s="13" t="inlineStr">
        <is>
          <t>Language</t>
        </is>
      </c>
      <c r="E51" s="13" t="inlineStr">
        <is>
          <t>19B</t>
        </is>
      </c>
      <c r="F51" s="13" t="inlineStr">
        <is>
          <t>F6</t>
        </is>
      </c>
      <c r="G51" s="8" t="inlineStr">
        <is>
          <t>Phase 3: Norwegian, Danish, Finnish, Swedish, Turkish</t>
        </is>
      </c>
      <c r="H51" s="8" t="inlineStr">
        <is>
          <t>Resource set, load and smoke-test for each of the five (2.5) -&gt; Turkish casing: culture-aware upper and lower case and comparison, because Turkish has a dotless i and .NET’s default casing corrupts it (1.5) -&gt; Finnish and Norwegian layout checks — long compound words break narrow columns (1.0)</t>
        </is>
      </c>
      <c r="I51" s="8" t="inlineStr">
        <is>
          <t>Enabler - no requirement</t>
        </is>
      </c>
      <c r="J51" s="13" t="inlineStr"/>
      <c r="K51" s="13" t="inlineStr">
        <is>
          <t>Medium</t>
        </is>
      </c>
      <c r="L51" s="13" t="inlineStr">
        <is>
          <t>Yet to start</t>
        </is>
      </c>
      <c r="M51" s="13" t="inlineStr">
        <is>
          <t>M8</t>
        </is>
      </c>
      <c r="N51" s="9">
        <f>SUMIFS('Task Breakdown'!$J:$J,'Task Breakdown'!$L:$L,$C51,'Task Breakdown'!$M:$M,$F51)</f>
        <v/>
      </c>
      <c r="O51" s="9">
        <f>N51/8</f>
        <v/>
      </c>
      <c r="P51" s="8" t="inlineStr"/>
    </row>
    <row r="52" ht="62" customHeight="1">
      <c r="A52" s="13" t="n">
        <v>51</v>
      </c>
      <c r="B52" s="13" t="inlineStr">
        <is>
          <t>Epic 21</t>
        </is>
      </c>
      <c r="C52" s="13" t="inlineStr">
        <is>
          <t>ASWD-21</t>
        </is>
      </c>
      <c r="D52" s="13" t="inlineStr">
        <is>
          <t>Device Communication (+ Firmware)</t>
        </is>
      </c>
      <c r="E52" s="13" t="inlineStr"/>
      <c r="F52" s="13" t="inlineStr">
        <is>
          <t>F1</t>
        </is>
      </c>
      <c r="G52" s="8" t="inlineStr">
        <is>
          <t>Discover the device protocol and create the communication project</t>
        </is>
      </c>
      <c r="H52" s="8" t="inlineStr">
        <is>
          <t>3-day timeboxed discovery against a real device -&gt; New `AccuSync.Adapters.DeviceCommunication` project and its interfaces in `Core`</t>
        </is>
      </c>
      <c r="I52" s="8" t="inlineStr">
        <is>
          <t>Enabler - no requirement</t>
        </is>
      </c>
      <c r="J52" s="13" t="inlineStr"/>
      <c r="K52" s="13" t="inlineStr">
        <is>
          <t>High</t>
        </is>
      </c>
      <c r="L52" s="13" t="inlineStr">
        <is>
          <t>Yet to start</t>
        </is>
      </c>
      <c r="M52" s="13" t="inlineStr">
        <is>
          <t>M7</t>
        </is>
      </c>
      <c r="N52" s="9">
        <f>SUMIFS('Task Breakdown'!$J:$J,'Task Breakdown'!$L:$L,$C52,'Task Breakdown'!$M:$M,$F52)</f>
        <v/>
      </c>
      <c r="O52" s="9">
        <f>N52/8</f>
        <v/>
      </c>
      <c r="P52" s="8" t="inlineStr">
        <is>
          <t>Blocked pending a customer answer, see the plan section 8.</t>
        </is>
      </c>
    </row>
    <row r="53" ht="62" customHeight="1">
      <c r="A53" s="13" t="n">
        <v>52</v>
      </c>
      <c r="B53" s="13" t="inlineStr">
        <is>
          <t>Epic 21</t>
        </is>
      </c>
      <c r="C53" s="13" t="inlineStr">
        <is>
          <t>ASWD-21</t>
        </is>
      </c>
      <c r="D53" s="13" t="inlineStr">
        <is>
          <t>Device Communication (+ Firmware)</t>
        </is>
      </c>
      <c r="E53" s="13" t="inlineStr"/>
      <c r="F53" s="13" t="inlineStr">
        <is>
          <t>F2</t>
        </is>
      </c>
      <c r="G53" s="8" t="inlineStr">
        <is>
          <t>Connect to devices over USB and show connection status</t>
        </is>
      </c>
      <c r="H53" s="8" t="inlineStr">
        <is>
          <t>USB transport, device discovery, connect and disconnect -&gt; Show connected / disconnected / connecting, with visual indicators</t>
        </is>
      </c>
      <c r="I53" s="8" t="inlineStr">
        <is>
          <t>GID-254996, GID-254997, GID-255010</t>
        </is>
      </c>
      <c r="J53" s="13" t="inlineStr"/>
      <c r="K53" s="13" t="inlineStr">
        <is>
          <t>High</t>
        </is>
      </c>
      <c r="L53" s="13" t="inlineStr">
        <is>
          <t>Yet to start</t>
        </is>
      </c>
      <c r="M53" s="13" t="inlineStr">
        <is>
          <t>M7</t>
        </is>
      </c>
      <c r="N53" s="9">
        <f>SUMIFS('Task Breakdown'!$J:$J,'Task Breakdown'!$L:$L,$C53,'Task Breakdown'!$M:$M,$F53)</f>
        <v/>
      </c>
      <c r="O53" s="9">
        <f>N53/8</f>
        <v/>
      </c>
      <c r="P53" s="8" t="inlineStr"/>
    </row>
    <row r="54" ht="62" customHeight="1">
      <c r="A54" s="13" t="n">
        <v>53</v>
      </c>
      <c r="B54" s="13" t="inlineStr">
        <is>
          <t>Epic 21</t>
        </is>
      </c>
      <c r="C54" s="13" t="inlineStr">
        <is>
          <t>ASWD-21</t>
        </is>
      </c>
      <c r="D54" s="13" t="inlineStr">
        <is>
          <t>Device Communication (+ Firmware)</t>
        </is>
      </c>
      <c r="E54" s="13" t="inlineStr"/>
      <c r="F54" s="13" t="inlineStr">
        <is>
          <t>F3</t>
        </is>
      </c>
      <c r="G54" s="8" t="inlineStr">
        <is>
          <t>Read device information, patient demographics and test results</t>
        </is>
      </c>
      <c r="H54" s="8" t="inlineStr">
        <is>
          <t>Firmware version and device identification -&gt; Patient demographics and test results</t>
        </is>
      </c>
      <c r="I54" s="8" t="inlineStr">
        <is>
          <t>GID-254998, GID-255000, GID-255044, GID-255045</t>
        </is>
      </c>
      <c r="J54" s="13" t="inlineStr"/>
      <c r="K54" s="13" t="inlineStr">
        <is>
          <t>High</t>
        </is>
      </c>
      <c r="L54" s="13" t="inlineStr">
        <is>
          <t>Yet to start</t>
        </is>
      </c>
      <c r="M54" s="13" t="inlineStr">
        <is>
          <t>M7</t>
        </is>
      </c>
      <c r="N54" s="9">
        <f>SUMIFS('Task Breakdown'!$J:$J,'Task Breakdown'!$L:$L,$C54,'Task Breakdown'!$M:$M,$F54)</f>
        <v/>
      </c>
      <c r="O54" s="9">
        <f>N54/8</f>
        <v/>
      </c>
      <c r="P54" s="8" t="inlineStr"/>
    </row>
    <row r="55" ht="62" customHeight="1">
      <c r="A55" s="13" t="n">
        <v>54</v>
      </c>
      <c r="B55" s="13" t="inlineStr">
        <is>
          <t>Epic 21</t>
        </is>
      </c>
      <c r="C55" s="13" t="inlineStr">
        <is>
          <t>ASWD-21</t>
        </is>
      </c>
      <c r="D55" s="13" t="inlineStr">
        <is>
          <t>Device Communication (+ Firmware)</t>
        </is>
      </c>
      <c r="E55" s="13" t="inlineStr"/>
      <c r="F55" s="13" t="inlineStr">
        <is>
          <t>F4</t>
        </is>
      </c>
      <c r="G55" s="8" t="inlineStr">
        <is>
          <t>Send patients and configuration to the device</t>
        </is>
      </c>
      <c r="H55" s="8" t="inlineStr">
        <is>
          <t>GID-254999 -&gt; Site config -&gt; Facility config -&gt; ABR protocols -&gt; DPOAE protocols</t>
        </is>
      </c>
      <c r="I55" s="8" t="inlineStr">
        <is>
          <t>GID-254999, GID-255001, GID-255002, GID-255003, GID-255004</t>
        </is>
      </c>
      <c r="J55" s="13" t="inlineStr"/>
      <c r="K55" s="13" t="inlineStr">
        <is>
          <t>High</t>
        </is>
      </c>
      <c r="L55" s="13" t="inlineStr">
        <is>
          <t>Yet to start</t>
        </is>
      </c>
      <c r="M55" s="13" t="inlineStr">
        <is>
          <t>M7</t>
        </is>
      </c>
      <c r="N55" s="9">
        <f>SUMIFS('Task Breakdown'!$J:$J,'Task Breakdown'!$L:$L,$C55,'Task Breakdown'!$M:$M,$F55)</f>
        <v/>
      </c>
      <c r="O55" s="9">
        <f>N55/8</f>
        <v/>
      </c>
      <c r="P55" s="8" t="inlineStr"/>
    </row>
    <row r="56" ht="62" customHeight="1">
      <c r="A56" s="13" t="n">
        <v>55</v>
      </c>
      <c r="B56" s="13" t="inlineStr">
        <is>
          <t>Epic 21</t>
        </is>
      </c>
      <c r="C56" s="13" t="inlineStr">
        <is>
          <t>ASWD-21</t>
        </is>
      </c>
      <c r="D56" s="13" t="inlineStr">
        <is>
          <t>Device Communication (+ Firmware)</t>
        </is>
      </c>
      <c r="E56" s="13" t="inlineStr"/>
      <c r="F56" s="13" t="inlineStr">
        <is>
          <t>F5</t>
        </is>
      </c>
      <c r="G56" s="8" t="inlineStr">
        <is>
          <t>Send firmware to the device with warnings and progress ⚠ *SRS §5.31, no Jira epic</t>
        </is>
      </c>
      <c r="H56" s="8" t="inlineStr">
        <is>
          <t>Send firmware to the device -&gt; Show warnings and progress before and during</t>
        </is>
      </c>
      <c r="I56" s="8" t="inlineStr">
        <is>
          <t>GID-255005, GID-255011</t>
        </is>
      </c>
      <c r="J56" s="13" t="inlineStr"/>
      <c r="K56" s="13" t="inlineStr">
        <is>
          <t>Medium</t>
        </is>
      </c>
      <c r="L56" s="13" t="inlineStr">
        <is>
          <t>Yet to start</t>
        </is>
      </c>
      <c r="M56" s="13" t="inlineStr">
        <is>
          <t>M7</t>
        </is>
      </c>
      <c r="N56" s="9">
        <f>SUMIFS('Task Breakdown'!$J:$J,'Task Breakdown'!$L:$L,$C56,'Task Breakdown'!$M:$M,$F56)</f>
        <v/>
      </c>
      <c r="O56" s="9">
        <f>N56/8</f>
        <v/>
      </c>
      <c r="P56" s="8" t="inlineStr"/>
    </row>
    <row r="57" ht="62" customHeight="1">
      <c r="A57" s="13" t="n">
        <v>56</v>
      </c>
      <c r="B57" s="13" t="inlineStr">
        <is>
          <t>Epic 24</t>
        </is>
      </c>
      <c r="C57" s="13" t="inlineStr">
        <is>
          <t>ASWD-24</t>
        </is>
      </c>
      <c r="D57" s="13" t="inlineStr">
        <is>
          <t>Alarms, Warnings, Operator Messages</t>
        </is>
      </c>
      <c r="E57" s="13" t="inlineStr"/>
      <c r="F57" s="13" t="inlineStr">
        <is>
          <t>F1</t>
        </is>
      </c>
      <c r="G57" s="8" t="inlineStr">
        <is>
          <t>Show progress for slow operations and log the user out after inactivity</t>
        </is>
      </c>
      <c r="H57" s="8" t="inlineStr">
        <is>
          <t>Shared progress indicator for slow operations: printing, transfers, firmware -&gt;  Auto-logout after inactivity, with a warning first -&gt; GID-255008 → Epic 1 -&gt; GID-255009 → Epic G -&gt; GID-255010 → Epic 21 -&gt; GID-255011 → Epic 21 -&gt; GID-255012 → Epic 17</t>
        </is>
      </c>
      <c r="I57" s="8" t="inlineStr">
        <is>
          <t>GID-255008, GID-255009, GID-255010, GID-255011, GID-255012, GID-255013, GID-255014</t>
        </is>
      </c>
      <c r="J57" s="13" t="inlineStr"/>
      <c r="K57" s="13" t="inlineStr">
        <is>
          <t>Medium</t>
        </is>
      </c>
      <c r="L57" s="13" t="inlineStr">
        <is>
          <t>Yet to start</t>
        </is>
      </c>
      <c r="M57" s="13" t="inlineStr">
        <is>
          <t>M8</t>
        </is>
      </c>
      <c r="N57" s="9">
        <f>SUMIFS('Task Breakdown'!$J:$J,'Task Breakdown'!$L:$L,$C57,'Task Breakdown'!$M:$M,$F57)</f>
        <v/>
      </c>
      <c r="O57" s="9">
        <f>N57/8</f>
        <v/>
      </c>
      <c r="P57" s="8" t="inlineStr">
        <is>
          <t>Blocked pending a customer answer, see the plan section 8.</t>
        </is>
      </c>
    </row>
    <row r="58" ht="62" customHeight="1">
      <c r="A58" s="13" t="n">
        <v>57</v>
      </c>
      <c r="B58" s="13" t="inlineStr">
        <is>
          <t>Epic 31</t>
        </is>
      </c>
      <c r="C58" s="13" t="inlineStr">
        <is>
          <t>ASWD-31</t>
        </is>
      </c>
      <c r="D58" s="13" t="inlineStr">
        <is>
          <t>Logging: retention and protection</t>
        </is>
      </c>
      <c r="E58" s="13" t="inlineStr"/>
      <c r="F58" s="13" t="inlineStr">
        <is>
          <t>F1</t>
        </is>
      </c>
      <c r="G58" s="8" t="inlineStr">
        <is>
          <t>Roll, retain and protect the log files</t>
        </is>
      </c>
      <c r="H58" s="8" t="inlineStr">
        <is>
          <t>Roll daily and at 5 MB, keep 366 days, delete oldest first, file name `accusync_log_{count}_{date:yyyy-MM-dd_HH-mm-ss}.log` -&gt; Restrict read access to the log folder -&gt; Provide no user function to delete or modify a log file</t>
        </is>
      </c>
      <c r="I58" s="8" t="inlineStr">
        <is>
          <t>GID-255035, GID-255036, GID-255037</t>
        </is>
      </c>
      <c r="J58" s="13" t="inlineStr"/>
      <c r="K58" s="13" t="inlineStr">
        <is>
          <t>Medium</t>
        </is>
      </c>
      <c r="L58" s="13" t="inlineStr">
        <is>
          <t>Yet to start</t>
        </is>
      </c>
      <c r="M58" s="13" t="inlineStr">
        <is>
          <t>M8</t>
        </is>
      </c>
      <c r="N58" s="9">
        <f>SUMIFS('Task Breakdown'!$J:$J,'Task Breakdown'!$L:$L,$C58,'Task Breakdown'!$M:$M,$F58)</f>
        <v/>
      </c>
      <c r="O58" s="9">
        <f>N58/8</f>
        <v/>
      </c>
      <c r="P58" s="8" t="inlineStr"/>
    </row>
    <row r="59" ht="62" customHeight="1">
      <c r="A59" s="13" t="n">
        <v>58</v>
      </c>
      <c r="B59" s="13" t="inlineStr">
        <is>
          <t>Epic 25</t>
        </is>
      </c>
      <c r="C59" s="13" t="inlineStr">
        <is>
          <t>ASWD-25</t>
        </is>
      </c>
      <c r="D59" s="13" t="inlineStr">
        <is>
          <t>Audit Trail</t>
        </is>
      </c>
      <c r="E59" s="13" t="inlineStr"/>
      <c r="F59" s="13" t="inlineStr">
        <is>
          <t>F1</t>
        </is>
      </c>
      <c r="G59" s="8" t="inlineStr">
        <is>
          <t>Create the audit table and keep records for at least a year</t>
        </is>
      </c>
      <c r="H59" s="8" t="inlineStr">
        <is>
          <t>Audit table and writer with the 5 required fields: user ID, timestamp, description, device serial, status -&gt; Keep audit records for at least one year</t>
        </is>
      </c>
      <c r="I59" s="8" t="inlineStr">
        <is>
          <t>GID-255027, GID-255029</t>
        </is>
      </c>
      <c r="J59" s="13" t="inlineStr">
        <is>
          <t>Yes</t>
        </is>
      </c>
      <c r="K59" s="13" t="inlineStr">
        <is>
          <t>High</t>
        </is>
      </c>
      <c r="L59" s="13" t="inlineStr">
        <is>
          <t>Yet to start</t>
        </is>
      </c>
      <c r="M59" s="13" t="inlineStr">
        <is>
          <t>M8</t>
        </is>
      </c>
      <c r="N59" s="9">
        <f>SUMIFS('Task Breakdown'!$J:$J,'Task Breakdown'!$L:$L,$C59,'Task Breakdown'!$M:$M,$F59)</f>
        <v/>
      </c>
      <c r="O59" s="9">
        <f>N59/8</f>
        <v/>
      </c>
      <c r="P59" s="8" t="inlineStr"/>
    </row>
    <row r="60" ht="62" customHeight="1">
      <c r="A60" s="13" t="n">
        <v>59</v>
      </c>
      <c r="B60" s="13" t="inlineStr">
        <is>
          <t>Epic 25</t>
        </is>
      </c>
      <c r="C60" s="13" t="inlineStr">
        <is>
          <t>ASWD-25</t>
        </is>
      </c>
      <c r="D60" s="13" t="inlineStr">
        <is>
          <t>Audit Trail</t>
        </is>
      </c>
      <c r="E60" s="13" t="inlineStr"/>
      <c r="F60" s="13" t="inlineStr">
        <is>
          <t>F2</t>
        </is>
      </c>
      <c r="G60" s="8" t="inlineStr">
        <is>
          <t>Record login, configuration, patient, sync and firmware events</t>
        </is>
      </c>
      <c r="H60" s="8" t="inlineStr">
        <is>
          <t>Login, logout, attempts, failures, password changes -&gt; GID-255025 -&gt; Create, change, delete, export, import -&gt; Sync attempts and automatic user status changes -&gt; GID-255026</t>
        </is>
      </c>
      <c r="I60" s="8" t="inlineStr">
        <is>
          <t>GID-255023, GID-255024, GID-255025, GID-255026, GID-255028, GID-255030</t>
        </is>
      </c>
      <c r="J60" s="13" t="inlineStr"/>
      <c r="K60" s="13" t="inlineStr">
        <is>
          <t>Medium</t>
        </is>
      </c>
      <c r="L60" s="13" t="inlineStr">
        <is>
          <t>Yet to start</t>
        </is>
      </c>
      <c r="M60" s="13" t="inlineStr">
        <is>
          <t>M8</t>
        </is>
      </c>
      <c r="N60" s="9">
        <f>SUMIFS('Task Breakdown'!$J:$J,'Task Breakdown'!$L:$L,$C60,'Task Breakdown'!$M:$M,$F60)</f>
        <v/>
      </c>
      <c r="O60" s="9">
        <f>N60/8</f>
        <v/>
      </c>
      <c r="P60" s="8" t="inlineStr"/>
    </row>
    <row r="61" ht="62" customHeight="1">
      <c r="A61" s="13" t="n">
        <v>60</v>
      </c>
      <c r="B61" s="13" t="inlineStr">
        <is>
          <t>Epic 27</t>
        </is>
      </c>
      <c r="C61" s="13" t="inlineStr">
        <is>
          <t>ASWD-27</t>
        </is>
      </c>
      <c r="D61" s="13" t="inlineStr">
        <is>
          <t>About</t>
        </is>
      </c>
      <c r="E61" s="13" t="inlineStr"/>
      <c r="F61" s="13" t="inlineStr">
        <is>
          <t>F1</t>
        </is>
      </c>
      <c r="G61" s="8" t="inlineStr">
        <is>
          <t>Show version number, manufacturer and website</t>
        </is>
      </c>
      <c r="H61" s="8" t="inlineStr">
        <is>
          <t>Show version number, manufacturer name and website</t>
        </is>
      </c>
      <c r="I61" s="8" t="inlineStr">
        <is>
          <t>GID-255039</t>
        </is>
      </c>
      <c r="J61" s="13" t="inlineStr"/>
      <c r="K61" s="13" t="inlineStr">
        <is>
          <t>Low</t>
        </is>
      </c>
      <c r="L61" s="13" t="inlineStr">
        <is>
          <t>Yet to start</t>
        </is>
      </c>
      <c r="M61" s="13" t="inlineStr">
        <is>
          <t>M8</t>
        </is>
      </c>
      <c r="N61" s="9">
        <f>SUMIFS('Task Breakdown'!$J:$J,'Task Breakdown'!$L:$L,$C61,'Task Breakdown'!$M:$M,$F61)</f>
        <v/>
      </c>
      <c r="O61" s="9">
        <f>N61/8</f>
        <v/>
      </c>
      <c r="P61" s="8" t="inlineStr"/>
    </row>
    <row r="62" ht="62" customHeight="1">
      <c r="A62" s="13" t="n">
        <v>61</v>
      </c>
      <c r="B62" s="13" t="inlineStr">
        <is>
          <t>Epic 28</t>
        </is>
      </c>
      <c r="C62" s="13" t="inlineStr">
        <is>
          <t>ASWD-28</t>
        </is>
      </c>
      <c r="D62" s="13" t="inlineStr">
        <is>
          <t>Help</t>
        </is>
      </c>
      <c r="E62" s="13" t="inlineStr"/>
      <c r="F62" s="13" t="inlineStr">
        <is>
          <t>F1</t>
        </is>
      </c>
      <c r="G62" s="8" t="inlineStr">
        <is>
          <t>Open the user help and jump to the page for the current screen</t>
        </is>
      </c>
      <c r="H62" s="8" t="inlineStr">
        <is>
          <t>Open user help from inside the app -&gt; Help icon opens the page for the current screen</t>
        </is>
      </c>
      <c r="I62" s="8" t="inlineStr">
        <is>
          <t>GID-255040, GID-255041</t>
        </is>
      </c>
      <c r="J62" s="13" t="inlineStr"/>
      <c r="K62" s="13" t="inlineStr">
        <is>
          <t>Low</t>
        </is>
      </c>
      <c r="L62" s="13" t="inlineStr">
        <is>
          <t>Yet to start</t>
        </is>
      </c>
      <c r="M62" s="13" t="inlineStr">
        <is>
          <t>M8</t>
        </is>
      </c>
      <c r="N62" s="9">
        <f>SUMIFS('Task Breakdown'!$J:$J,'Task Breakdown'!$L:$L,$C62,'Task Breakdown'!$M:$M,$F62)</f>
        <v/>
      </c>
      <c r="O62" s="9">
        <f>N62/8</f>
        <v/>
      </c>
      <c r="P62" s="8" t="inlineStr">
        <is>
          <t>Blocked pending a customer answer, see the plan section 8.</t>
        </is>
      </c>
    </row>
    <row r="63" ht="62" customHeight="1">
      <c r="A63" s="13" t="n">
        <v>62</v>
      </c>
      <c r="B63" s="13" t="inlineStr">
        <is>
          <t>Epic 30</t>
        </is>
      </c>
      <c r="C63" s="13" t="inlineStr">
        <is>
          <t>ASWD-30</t>
        </is>
      </c>
      <c r="D63" s="13" t="inlineStr">
        <is>
          <t>Installation</t>
        </is>
      </c>
      <c r="E63" s="13" t="inlineStr"/>
      <c r="F63" s="13" t="inlineStr">
        <is>
          <t>F1</t>
        </is>
      </c>
      <c r="G63" s="8" t="inlineStr">
        <is>
          <t>Choose the installer technology and build the guided install</t>
        </is>
      </c>
      <c r="H63" s="8" t="inlineStr">
        <is>
          <t>1.5-day timeboxed comparison and a working minimal installer -&gt; Check prerequisites and system requirements before installing</t>
        </is>
      </c>
      <c r="I63" s="8" t="inlineStr">
        <is>
          <t>GID-255046</t>
        </is>
      </c>
      <c r="J63" s="13" t="inlineStr"/>
      <c r="K63" s="13" t="inlineStr">
        <is>
          <t>High</t>
        </is>
      </c>
      <c r="L63" s="13" t="inlineStr">
        <is>
          <t>Yet to start</t>
        </is>
      </c>
      <c r="M63" s="13" t="inlineStr">
        <is>
          <t>M8</t>
        </is>
      </c>
      <c r="N63" s="9">
        <f>SUMIFS('Task Breakdown'!$J:$J,'Task Breakdown'!$L:$L,$C63,'Task Breakdown'!$M:$M,$F63)</f>
        <v/>
      </c>
      <c r="O63" s="9">
        <f>N63/8</f>
        <v/>
      </c>
      <c r="P63" s="8" t="inlineStr"/>
    </row>
    <row r="64" ht="62" customHeight="1">
      <c r="A64" s="13" t="n">
        <v>63</v>
      </c>
      <c r="B64" s="13" t="inlineStr">
        <is>
          <t>Epic 30</t>
        </is>
      </c>
      <c r="C64" s="13" t="inlineStr">
        <is>
          <t>ASWD-30</t>
        </is>
      </c>
      <c r="D64" s="13" t="inlineStr">
        <is>
          <t>Installation</t>
        </is>
      </c>
      <c r="E64" s="13" t="inlineStr"/>
      <c r="F64" s="13" t="inlineStr">
        <is>
          <t>F2</t>
        </is>
      </c>
      <c r="G64" s="8" t="inlineStr">
        <is>
          <t>Uninstall cleanly, declare Windows 11 support and test a fresh install</t>
        </is>
      </c>
      <c r="H64" s="8" t="inlineStr">
        <is>
          <t>Remove everything, with a choice to keep or delete the database -&gt; Confirm and declare support for Windows 11 Pro and Enterprise, and check the operating system at install time -&gt; Test a fresh install on clean Windows 11 Pro and Enterprise</t>
        </is>
      </c>
      <c r="I64" s="8" t="inlineStr">
        <is>
          <t>GID-255007, GID-255047</t>
        </is>
      </c>
      <c r="J64" s="13" t="inlineStr"/>
      <c r="K64" s="13" t="inlineStr">
        <is>
          <t>High</t>
        </is>
      </c>
      <c r="L64" s="13" t="inlineStr">
        <is>
          <t>Yet to start</t>
        </is>
      </c>
      <c r="M64" s="13" t="inlineStr">
        <is>
          <t>M8</t>
        </is>
      </c>
      <c r="N64" s="9">
        <f>SUMIFS('Task Breakdown'!$J:$J,'Task Breakdown'!$L:$L,$C64,'Task Breakdown'!$M:$M,$F64)</f>
        <v/>
      </c>
      <c r="O64" s="9">
        <f>N64/8</f>
        <v/>
      </c>
      <c r="P64" s="8" t="inlineStr"/>
    </row>
    <row r="65" ht="62" customHeight="1">
      <c r="A65" s="13" t="n">
        <v>64</v>
      </c>
      <c r="B65" s="13" t="inlineStr">
        <is>
          <t>Epic 30</t>
        </is>
      </c>
      <c r="C65" s="13" t="inlineStr">
        <is>
          <t>ASWD-30</t>
        </is>
      </c>
      <c r="D65" s="13" t="inlineStr">
        <is>
          <t>Installation</t>
        </is>
      </c>
      <c r="E65" s="13" t="inlineStr"/>
      <c r="F65" s="13" t="inlineStr">
        <is>
          <t>F3</t>
        </is>
      </c>
      <c r="G65" s="8" t="inlineStr">
        <is>
          <t>Encrypt the databases, check the network and confirm final storage</t>
        </is>
      </c>
      <c r="H65" s="8" t="inlineStr">
        <is>
          <t>Detect no network before calling a web service and show a clear error -&gt; Encrypt both database files to AES-256 and manage the key at install time -&gt; Confirm patient records and settings land in the right database, including records received from a device</t>
        </is>
      </c>
      <c r="I65" s="8" t="inlineStr">
        <is>
          <t>GID-255006, GID-255042, GID-255043, GID-255044, GID-255045, GID-256510, GID-256511</t>
        </is>
      </c>
      <c r="J65" s="13" t="inlineStr"/>
      <c r="K65" s="13" t="inlineStr">
        <is>
          <t>Low</t>
        </is>
      </c>
      <c r="L65" s="13" t="inlineStr">
        <is>
          <t>Yet to start</t>
        </is>
      </c>
      <c r="M65" s="13" t="inlineStr">
        <is>
          <t>M8</t>
        </is>
      </c>
      <c r="N65" s="9">
        <f>SUMIFS('Task Breakdown'!$J:$J,'Task Breakdown'!$L:$L,$C65,'Task Breakdown'!$M:$M,$F65)</f>
        <v/>
      </c>
      <c r="O65" s="9">
        <f>N65/8</f>
        <v/>
      </c>
      <c r="P65" s="8" t="inlineStr">
        <is>
          <t>Blocked pending a customer answer, see the plan section 8.</t>
        </is>
      </c>
    </row>
    <row r="66" ht="62" customHeight="1">
      <c r="A66" s="13" t="n">
        <v>65</v>
      </c>
      <c r="B66" s="13" t="inlineStr">
        <is>
          <t>Epic 30</t>
        </is>
      </c>
      <c r="C66" s="13" t="inlineStr">
        <is>
          <t>ASWD-30</t>
        </is>
      </c>
      <c r="D66" s="13" t="inlineStr">
        <is>
          <t>Installation</t>
        </is>
      </c>
      <c r="E66" s="13" t="inlineStr"/>
      <c r="F66" s="13" t="inlineStr">
        <is>
          <t>F4</t>
        </is>
      </c>
      <c r="G66" s="8" t="inlineStr">
        <is>
          <t>Database encryption research: the options, the cost and the decision</t>
        </is>
      </c>
      <c r="H66" s="8" t="inlineStr">
        <is>
          <t>Survey the options and what each one costs to licence: SQLCipher through SQLitePCLRaw, the commercial SQLite Encryption Extension, column-level encryption through EF Core value converters, and OS-level BitLocker or EFS (1.0) -&gt; Spike each viable option against the real schema and a realistic data volume, and measure read and write cost rather than guess it (1.5) -&gt; Key management: where the key lives, how it is protected at rest, how it rotates, and what happens when it is lost — a lost key on an encrypted patient database is unrecoverable data (1.0) -&gt; Prove backup, restore and EF Core migrations still work on an encrypted file, and decide how support reads a customer database (1.0) -&gt; Write the decision: the recommendation, the trade-offs, and the design rules every later feature must follow — including whether development proceeds against the encrypted provider from Epic 2 onward (1.0)</t>
        </is>
      </c>
      <c r="I66" s="8" t="inlineStr">
        <is>
          <t>Enabler - no requirement</t>
        </is>
      </c>
      <c r="J66" s="13" t="inlineStr">
        <is>
          <t>Yes</t>
        </is>
      </c>
      <c r="K66" s="13" t="inlineStr">
        <is>
          <t>Medium</t>
        </is>
      </c>
      <c r="L66" s="13" t="inlineStr">
        <is>
          <t>Yet to start</t>
        </is>
      </c>
      <c r="M66" s="13" t="inlineStr">
        <is>
          <t>M8</t>
        </is>
      </c>
      <c r="N66" s="9">
        <f>SUMIFS('Task Breakdown'!$J:$J,'Task Breakdown'!$L:$L,$C66,'Task Breakdown'!$M:$M,$F66)</f>
        <v/>
      </c>
      <c r="O66" s="9">
        <f>N66/8</f>
        <v/>
      </c>
      <c r="P66" s="8" t="inlineStr"/>
    </row>
    <row r="67" ht="62" customHeight="1">
      <c r="A67" s="13" t="n">
        <v>66</v>
      </c>
      <c r="B67" s="13" t="inlineStr">
        <is>
          <t>Epic 33</t>
        </is>
      </c>
      <c r="C67" s="13" t="inlineStr">
        <is>
          <t>ASWD-33</t>
        </is>
      </c>
      <c r="D67" s="13" t="inlineStr">
        <is>
          <t>Release: release testing and documentation</t>
        </is>
      </c>
      <c r="E67" s="13" t="inlineStr"/>
      <c r="F67" s="13" t="inlineStr">
        <is>
          <t>F1</t>
        </is>
      </c>
      <c r="G67" s="8" t="inlineStr">
        <is>
          <t>Release testing: manual test against every requirement, and install on a new Windows machine</t>
        </is>
      </c>
      <c r="H67" s="8" t="inlineStr">
        <is>
          <t>Write the test plan: one manual test case per requirement, with the expected result and the evidence to capture (4.0) -&gt; Execute the full manual pass across all 196 requirements against a named build, and re-test what fails after each fix (7.0) -&gt; Installer testing: install on a clean machine of each supported Windows version and run the pass there, not only on a developer machine (1.4)</t>
        </is>
      </c>
      <c r="I67" s="8" t="inlineStr">
        <is>
          <t>Enabler - no requirement</t>
        </is>
      </c>
      <c r="J67" s="13" t="inlineStr">
        <is>
          <t>Yes</t>
        </is>
      </c>
      <c r="K67" s="13" t="inlineStr">
        <is>
          <t>High</t>
        </is>
      </c>
      <c r="L67" s="13" t="inlineStr">
        <is>
          <t>Yet to start</t>
        </is>
      </c>
      <c r="M67" s="13" t="inlineStr">
        <is>
          <t>M8</t>
        </is>
      </c>
      <c r="N67" s="9">
        <f>SUMIFS('Task Breakdown'!$J:$J,'Task Breakdown'!$L:$L,$C67,'Task Breakdown'!$M:$M,$F67)</f>
        <v/>
      </c>
      <c r="O67" s="9">
        <f>N67/8</f>
        <v/>
      </c>
      <c r="P67" s="8" t="inlineStr"/>
    </row>
    <row r="68" ht="62" customHeight="1">
      <c r="A68" s="13" t="n">
        <v>67</v>
      </c>
      <c r="B68" s="13" t="inlineStr">
        <is>
          <t>Epic 33</t>
        </is>
      </c>
      <c r="C68" s="13" t="inlineStr">
        <is>
          <t>ASWD-33</t>
        </is>
      </c>
      <c r="D68" s="13" t="inlineStr">
        <is>
          <t>Release: release testing and documentation</t>
        </is>
      </c>
      <c r="E68" s="13" t="inlineStr"/>
      <c r="F68" s="13" t="inlineStr">
        <is>
          <t>F2</t>
        </is>
      </c>
      <c r="G68" s="8" t="inlineStr">
        <is>
          <t>User documentation: manual and release notes</t>
        </is>
      </c>
      <c r="H68" s="8" t="inlineStr">
        <is>
          <t>Write the user manual as a standalone document covering every screen and workflow, against the finished product rather than the design (4.0) -&gt; Release notes and the known-issue list (2.0) -&gt; Check the user manual against the in-application help from Epic 28 so the two do not disagree — a review of both, no application changes (3.0)</t>
        </is>
      </c>
      <c r="I68" s="8" t="inlineStr">
        <is>
          <t>Enabler - no requirement</t>
        </is>
      </c>
      <c r="J68" s="13" t="inlineStr"/>
      <c r="K68" s="13" t="inlineStr">
        <is>
          <t>High</t>
        </is>
      </c>
      <c r="L68" s="13" t="inlineStr">
        <is>
          <t>Yet to start</t>
        </is>
      </c>
      <c r="M68" s="13" t="inlineStr">
        <is>
          <t>M8</t>
        </is>
      </c>
      <c r="N68" s="9">
        <f>SUMIFS('Task Breakdown'!$J:$J,'Task Breakdown'!$L:$L,$C68,'Task Breakdown'!$M:$M,$F68)</f>
        <v/>
      </c>
      <c r="O68" s="9">
        <f>N68/8</f>
        <v/>
      </c>
      <c r="P68" s="8" t="inlineStr"/>
    </row>
    <row r="69">
      <c r="A69" s="10" t="n"/>
      <c r="B69" s="10" t="n"/>
      <c r="C69" s="10" t="n"/>
      <c r="D69" s="10" t="n"/>
      <c r="E69" s="10" t="n"/>
      <c r="F69" s="10" t="n"/>
      <c r="G69" s="10" t="n"/>
      <c r="H69" s="10" t="n"/>
      <c r="I69" s="10" t="n"/>
      <c r="J69" s="10" t="n"/>
      <c r="K69" s="10" t="n"/>
      <c r="L69" s="10" t="n"/>
      <c r="M69" s="14" t="inlineStr">
        <is>
          <t>TOTAL</t>
        </is>
      </c>
      <c r="N69" s="15">
        <f>SUM(N2:N68)</f>
        <v/>
      </c>
      <c r="O69" s="15">
        <f>SUM(O2:O68)</f>
        <v/>
      </c>
      <c r="P69" s="10" t="n"/>
    </row>
  </sheetData>
  <autoFilter ref="A1:P68"/>
  <conditionalFormatting sqref="K2:K68">
    <cfRule type="cellIs" priority="1" operator="equal" dxfId="0">
      <formula>"High"</formula>
    </cfRule>
    <cfRule type="cellIs" priority="2" operator="equal" dxfId="1">
      <formula>"Medium"</formula>
    </cfRule>
    <cfRule type="cellIs" priority="3" operator="equal" dxfId="2">
      <formula>"Low"</formula>
    </cfRule>
  </conditionalFormatting>
  <conditionalFormatting sqref="L2:L68">
    <cfRule type="cellIs" priority="4" operator="equal" dxfId="2">
      <formula>"Complete"</formula>
    </cfRule>
    <cfRule type="cellIs" priority="5" operator="equal" dxfId="3">
      <formula>"In progress"</formula>
    </cfRule>
    <cfRule type="cellIs" priority="6" operator="equal" dxfId="4">
      <formula>"Yet to start"</formula>
    </cfRule>
  </conditionalFormatting>
  <dataValidations count="2">
    <dataValidation sqref="K2:K68" showDropDown="0" showInputMessage="0" showErrorMessage="0" allowBlank="1" type="list">
      <formula1>"High,Medium,Low"</formula1>
    </dataValidation>
    <dataValidation sqref="L2:L68" showDropDown="0" showInputMessage="0" showErrorMessage="0" allowBlank="1" type="list">
      <formula1>"Yet to start,In progress,Complete"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39"/>
  <sheetViews>
    <sheetView workbookViewId="0">
      <pane ySplit="2" topLeftCell="A3" activePane="bottomLeft" state="frozen"/>
      <selection pane="bottomLeft" activeCell="A1" sqref="A1"/>
    </sheetView>
  </sheetViews>
  <sheetFormatPr baseColWidth="8" defaultRowHeight="15"/>
  <cols>
    <col width="10" customWidth="1" min="1" max="1"/>
    <col width="38" customWidth="1" min="2" max="2"/>
    <col width="46" customWidth="1" min="3" max="3"/>
    <col width="58" customWidth="1" min="4" max="4"/>
    <col width="13" customWidth="1" min="5" max="5"/>
    <col width="10" customWidth="1" min="6" max="6"/>
    <col width="10" customWidth="1" min="7" max="7"/>
    <col width="10" customWidth="1" min="8" max="8"/>
    <col width="12" customWidth="1" min="9" max="9"/>
    <col width="10" customWidth="1" min="10" max="10"/>
    <col width="11" customWidth="1" min="11" max="11"/>
    <col hidden="1" width="13" customWidth="1" min="12" max="12"/>
    <col hidden="1" width="13" customWidth="1" min="13" max="13"/>
    <col hidden="1" width="13" customWidth="1" min="14" max="14"/>
  </cols>
  <sheetData>
    <row r="1" ht="30" customHeight="1">
      <c r="A1" s="6" t="inlineStr">
        <is>
          <t>Epic</t>
        </is>
      </c>
      <c r="B1" s="6" t="inlineStr">
        <is>
          <t>Feature</t>
        </is>
      </c>
      <c r="C1" s="6" t="inlineStr">
        <is>
          <t>Title</t>
        </is>
      </c>
      <c r="D1" s="6" t="inlineStr">
        <is>
          <t>Sub-Tasks</t>
        </is>
      </c>
      <c r="E1" s="6" t="inlineStr">
        <is>
          <t>Development Hours (Design + Implementation + Unit Test)</t>
        </is>
      </c>
      <c r="F1" s="6" t="inlineStr">
        <is>
          <t>Testing</t>
        </is>
      </c>
      <c r="G1" s="6" t="inlineStr">
        <is>
          <t>W8B8</t>
        </is>
      </c>
      <c r="H1" s="6" t="inlineStr">
        <is>
          <t>Review</t>
        </is>
      </c>
      <c r="I1" s="6" t="inlineStr">
        <is>
          <t>Management</t>
        </is>
      </c>
      <c r="J1" s="6" t="inlineStr">
        <is>
          <t>Total H</t>
        </is>
      </c>
      <c r="K1" s="6" t="inlineStr">
        <is>
          <t>Total Days</t>
        </is>
      </c>
    </row>
    <row r="2">
      <c r="A2" s="10" t="n"/>
      <c r="B2" s="10" t="n"/>
      <c r="C2" s="10" t="n"/>
      <c r="D2" s="10" t="n"/>
      <c r="E2" s="10" t="n"/>
      <c r="F2" s="12" t="n">
        <v>0.1</v>
      </c>
      <c r="G2" s="12" t="n">
        <v>1.2</v>
      </c>
      <c r="H2" s="12" t="n">
        <v>0.1</v>
      </c>
      <c r="I2" s="12" t="n">
        <v>0.05</v>
      </c>
      <c r="J2" s="10" t="n"/>
      <c r="K2" s="10" t="n"/>
    </row>
    <row r="3" ht="26" customHeight="1">
      <c r="A3" s="16" t="inlineStr">
        <is>
          <t>ASWD-77</t>
        </is>
      </c>
      <c r="B3" s="17" t="inlineStr">
        <is>
          <t>Revamp Code Base</t>
        </is>
      </c>
      <c r="C3" s="17" t="inlineStr">
        <is>
          <t>Architecture revamp with MVVM + Clean Architecture</t>
        </is>
      </c>
      <c r="D3" s="8" t="inlineStr">
        <is>
          <t>Implementation</t>
        </is>
      </c>
      <c r="E3" s="18" t="n">
        <v>48</v>
      </c>
      <c r="F3" s="19">
        <f>E3*F$2</f>
        <v/>
      </c>
      <c r="G3" s="19">
        <f>SUM(E3:F3)*G$2</f>
        <v/>
      </c>
      <c r="H3" s="19">
        <f>G3*H$2</f>
        <v/>
      </c>
      <c r="I3" s="19">
        <f>G3*I$2</f>
        <v/>
      </c>
      <c r="J3" s="19">
        <f>SUM(G3:I3)</f>
        <v/>
      </c>
      <c r="K3" s="19">
        <f>J3/8</f>
        <v/>
      </c>
      <c r="L3" t="inlineStr">
        <is>
          <t>ASWD-77</t>
        </is>
      </c>
      <c r="M3" t="inlineStr">
        <is>
          <t>F1</t>
        </is>
      </c>
      <c r="N3" t="inlineStr">
        <is>
          <t>M1</t>
        </is>
      </c>
    </row>
    <row r="4" ht="26" customHeight="1">
      <c r="A4" s="16" t="inlineStr">
        <is>
          <t>ASWD-1</t>
        </is>
      </c>
      <c r="B4" s="17" t="inlineStr">
        <is>
          <t>F1 - Re-verify login after the branch merge and record traceability</t>
        </is>
      </c>
      <c r="C4" s="17" t="inlineStr">
        <is>
          <t>Re-verify the six requirements after the branch merge, record requirement traceability, confirm the 103 tests still pass</t>
        </is>
      </c>
      <c r="D4" s="8" t="inlineStr">
        <is>
          <t>Implementation</t>
        </is>
      </c>
      <c r="E4" s="18" t="n">
        <v>40</v>
      </c>
      <c r="F4" s="19">
        <f>E4*F$2</f>
        <v/>
      </c>
      <c r="G4" s="19">
        <f>SUM(E4:F4)*G$2</f>
        <v/>
      </c>
      <c r="H4" s="19">
        <f>G4*H$2</f>
        <v/>
      </c>
      <c r="I4" s="19">
        <f>G4*I$2</f>
        <v/>
      </c>
      <c r="J4" s="19">
        <f>SUM(G4:I4)</f>
        <v/>
      </c>
      <c r="K4" s="19">
        <f>J4/8</f>
        <v/>
      </c>
      <c r="L4" t="inlineStr">
        <is>
          <t>ASWD-1</t>
        </is>
      </c>
      <c r="M4" t="inlineStr">
        <is>
          <t>F1</t>
        </is>
      </c>
      <c r="N4" t="inlineStr">
        <is>
          <t>M1</t>
        </is>
      </c>
    </row>
    <row r="5" ht="26" customHeight="1">
      <c r="A5" s="20" t="n"/>
      <c r="B5" s="20" t="n"/>
      <c r="C5" s="20" t="n"/>
      <c r="D5" s="8" t="inlineStr">
        <is>
          <t>Verify against a clean checkout</t>
        </is>
      </c>
      <c r="E5" s="18" t="n">
        <v>7</v>
      </c>
      <c r="F5" s="19">
        <f>E5*F$2</f>
        <v/>
      </c>
      <c r="G5" s="19">
        <f>SUM(E5:F5)*G$2</f>
        <v/>
      </c>
      <c r="H5" s="19">
        <f>G5*H$2</f>
        <v/>
      </c>
      <c r="I5" s="19">
        <f>G5*I$2</f>
        <v/>
      </c>
      <c r="J5" s="19">
        <f>SUM(G5:I5)</f>
        <v/>
      </c>
      <c r="K5" s="19">
        <f>J5/8</f>
        <v/>
      </c>
      <c r="L5" t="inlineStr">
        <is>
          <t>ASWD-1</t>
        </is>
      </c>
      <c r="M5" t="inlineStr">
        <is>
          <t>F1</t>
        </is>
      </c>
      <c r="N5" t="inlineStr">
        <is>
          <t>M1</t>
        </is>
      </c>
    </row>
    <row r="6" ht="26" customHeight="1">
      <c r="A6" s="16" t="inlineStr">
        <is>
          <t>ASWD-26</t>
        </is>
      </c>
      <c r="B6" s="17" t="inlineStr">
        <is>
          <t>F1 - Logging that works, and logging in the code already written</t>
        </is>
      </c>
      <c r="C6" s="17" t="inlineStr">
        <is>
          <t>Logging interface in Core, file output, four levels (Debug / Info / Warning / Error), the agreed entry format, written to %ProgramData%\Natus\AccuSync\Logs, with exception logging that records type and message but never ex.ToString() (GID-255031, GID-255032, GID-255033, GID-255034, GID-255038)</t>
        </is>
      </c>
      <c r="D6" s="8" t="inlineStr">
        <is>
          <t>Writer, levels and the required fields</t>
        </is>
      </c>
      <c r="E6" s="18" t="n">
        <v>6</v>
      </c>
      <c r="F6" s="19">
        <f>E6*F$2</f>
        <v/>
      </c>
      <c r="G6" s="19">
        <f>SUM(E6:F6)*G$2</f>
        <v/>
      </c>
      <c r="H6" s="19">
        <f>G6*H$2</f>
        <v/>
      </c>
      <c r="I6" s="19">
        <f>G6*I$2</f>
        <v/>
      </c>
      <c r="J6" s="19">
        <f>SUM(G6:I6)</f>
        <v/>
      </c>
      <c r="K6" s="19">
        <f>J6/8</f>
        <v/>
      </c>
      <c r="L6" t="inlineStr">
        <is>
          <t>ASWD-26</t>
        </is>
      </c>
      <c r="M6" t="inlineStr">
        <is>
          <t>F1</t>
        </is>
      </c>
      <c r="N6" t="inlineStr">
        <is>
          <t>M1</t>
        </is>
      </c>
    </row>
    <row r="7" ht="26" customHeight="1">
      <c r="A7" s="21" t="n"/>
      <c r="B7" s="21" t="n"/>
      <c r="C7" s="20" t="n"/>
      <c r="D7" s="8" t="inlineStr">
        <is>
          <t>Call sites across the affected screens and services</t>
        </is>
      </c>
      <c r="E7" s="18" t="n">
        <v>5</v>
      </c>
      <c r="F7" s="19">
        <f>E7*F$2</f>
        <v/>
      </c>
      <c r="G7" s="19">
        <f>SUM(E7:F7)*G$2</f>
        <v/>
      </c>
      <c r="H7" s="19">
        <f>G7*H$2</f>
        <v/>
      </c>
      <c r="I7" s="19">
        <f>G7*I$2</f>
        <v/>
      </c>
      <c r="J7" s="19">
        <f>SUM(G7:I7)</f>
        <v/>
      </c>
      <c r="K7" s="19">
        <f>J7/8</f>
        <v/>
      </c>
      <c r="L7" t="inlineStr">
        <is>
          <t>ASWD-26</t>
        </is>
      </c>
      <c r="M7" t="inlineStr">
        <is>
          <t>F1</t>
        </is>
      </c>
      <c r="N7" t="inlineStr">
        <is>
          <t>M1</t>
        </is>
      </c>
    </row>
    <row r="8" ht="26" customHeight="1">
      <c r="A8" s="21" t="n"/>
      <c r="B8" s="21" t="n"/>
      <c r="C8" s="17" t="inlineStr">
        <is>
          <t>Convert the existing Debug.WriteLine and Console.WriteLine calls</t>
        </is>
      </c>
      <c r="D8" s="8" t="inlineStr">
        <is>
          <t>Convert the existing Debug.WriteLine and Console.WriteLine calls</t>
        </is>
      </c>
      <c r="E8" s="18" t="n">
        <v>5</v>
      </c>
      <c r="F8" s="19">
        <f>E8*F$2</f>
        <v/>
      </c>
      <c r="G8" s="19">
        <f>SUM(E8:F8)*G$2</f>
        <v/>
      </c>
      <c r="H8" s="19">
        <f>G8*H$2</f>
        <v/>
      </c>
      <c r="I8" s="19">
        <f>G8*I$2</f>
        <v/>
      </c>
      <c r="J8" s="19">
        <f>SUM(G8:I8)</f>
        <v/>
      </c>
      <c r="K8" s="19">
        <f>J8/8</f>
        <v/>
      </c>
      <c r="L8" t="inlineStr">
        <is>
          <t>ASWD-26</t>
        </is>
      </c>
      <c r="M8" t="inlineStr">
        <is>
          <t>F1</t>
        </is>
      </c>
      <c r="N8" t="inlineStr">
        <is>
          <t>M1</t>
        </is>
      </c>
    </row>
    <row r="9" ht="26" customHeight="1">
      <c r="A9" s="20" t="n"/>
      <c r="B9" s="20" t="n"/>
      <c r="C9" s="17" t="inlineStr">
        <is>
          <t>Add logging to the Epic 0 and Epic 1 code already written</t>
        </is>
      </c>
      <c r="D9" s="8" t="inlineStr">
        <is>
          <t>Call sites across the affected screens and services</t>
        </is>
      </c>
      <c r="E9" s="18" t="n">
        <v>4</v>
      </c>
      <c r="F9" s="19">
        <f>E9*F$2</f>
        <v/>
      </c>
      <c r="G9" s="19">
        <f>SUM(E9:F9)*G$2</f>
        <v/>
      </c>
      <c r="H9" s="19">
        <f>G9*H$2</f>
        <v/>
      </c>
      <c r="I9" s="19">
        <f>G9*I$2</f>
        <v/>
      </c>
      <c r="J9" s="19">
        <f>SUM(G9:I9)</f>
        <v/>
      </c>
      <c r="K9" s="19">
        <f>J9/8</f>
        <v/>
      </c>
      <c r="L9" t="inlineStr">
        <is>
          <t>ASWD-26</t>
        </is>
      </c>
      <c r="M9" t="inlineStr">
        <is>
          <t>F1</t>
        </is>
      </c>
      <c r="N9" t="inlineStr">
        <is>
          <t>M1</t>
        </is>
      </c>
    </row>
    <row r="10" ht="26" customHeight="1">
      <c r="A10" s="16" t="inlineStr">
        <is>
          <t>ASWD-2</t>
        </is>
      </c>
      <c r="B10" s="17" t="inlineStr">
        <is>
          <t>F1 - Create, view, edit and delete a patient record</t>
        </is>
      </c>
      <c r="C10" s="17" t="inlineStr">
        <is>
          <t>PM-01 - Create the patient tables and repository</t>
        </is>
      </c>
      <c r="D10" s="8" t="inlineStr">
        <is>
          <t>Patient entity and EF Core configuration</t>
        </is>
      </c>
      <c r="E10" s="18" t="n">
        <v>8</v>
      </c>
      <c r="F10" s="19">
        <f>E10*F$2</f>
        <v/>
      </c>
      <c r="G10" s="19">
        <f>SUM(E10:F10)*G$2</f>
        <v/>
      </c>
      <c r="H10" s="19">
        <f>G10*H$2</f>
        <v/>
      </c>
      <c r="I10" s="19">
        <f>G10*I$2</f>
        <v/>
      </c>
      <c r="J10" s="19">
        <f>SUM(G10:I10)</f>
        <v/>
      </c>
      <c r="K10" s="19">
        <f>J10/8</f>
        <v/>
      </c>
      <c r="L10" t="inlineStr">
        <is>
          <t>ASWD-2</t>
        </is>
      </c>
      <c r="M10" t="inlineStr">
        <is>
          <t>F1</t>
        </is>
      </c>
      <c r="N10" t="inlineStr">
        <is>
          <t>M1</t>
        </is>
      </c>
    </row>
    <row r="11" ht="26" customHeight="1">
      <c r="A11" s="21" t="n"/>
      <c r="B11" s="21" t="n"/>
      <c r="C11" s="21" t="n"/>
      <c r="D11" s="8" t="inlineStr">
        <is>
          <t>Migration and DbContext wiring</t>
        </is>
      </c>
      <c r="E11" s="18" t="n">
        <v>6</v>
      </c>
      <c r="F11" s="19">
        <f>E11*F$2</f>
        <v/>
      </c>
      <c r="G11" s="19">
        <f>SUM(E11:F11)*G$2</f>
        <v/>
      </c>
      <c r="H11" s="19">
        <f>G11*H$2</f>
        <v/>
      </c>
      <c r="I11" s="19">
        <f>G11*I$2</f>
        <v/>
      </c>
      <c r="J11" s="19">
        <f>SUM(G11:I11)</f>
        <v/>
      </c>
      <c r="K11" s="19">
        <f>J11/8</f>
        <v/>
      </c>
      <c r="L11" t="inlineStr">
        <is>
          <t>ASWD-2</t>
        </is>
      </c>
      <c r="M11" t="inlineStr">
        <is>
          <t>F1</t>
        </is>
      </c>
      <c r="N11" t="inlineStr">
        <is>
          <t>M1</t>
        </is>
      </c>
    </row>
    <row r="12" ht="26" customHeight="1">
      <c r="A12" s="21" t="n"/>
      <c r="B12" s="21" t="n"/>
      <c r="C12" s="20" t="n"/>
      <c r="D12" s="8" t="inlineStr">
        <is>
          <t>Repository and service methods</t>
        </is>
      </c>
      <c r="E12" s="18" t="n">
        <v>4</v>
      </c>
      <c r="F12" s="19">
        <f>E12*F$2</f>
        <v/>
      </c>
      <c r="G12" s="19">
        <f>SUM(E12:F12)*G$2</f>
        <v/>
      </c>
      <c r="H12" s="19">
        <f>G12*H$2</f>
        <v/>
      </c>
      <c r="I12" s="19">
        <f>G12*I$2</f>
        <v/>
      </c>
      <c r="J12" s="19">
        <f>SUM(G12:I12)</f>
        <v/>
      </c>
      <c r="K12" s="19">
        <f>J12/8</f>
        <v/>
      </c>
      <c r="L12" t="inlineStr">
        <is>
          <t>ASWD-2</t>
        </is>
      </c>
      <c r="M12" t="inlineStr">
        <is>
          <t>F1</t>
        </is>
      </c>
      <c r="N12" t="inlineStr">
        <is>
          <t>M1</t>
        </is>
      </c>
    </row>
    <row r="13" ht="26" customHeight="1">
      <c r="A13" s="21" t="n"/>
      <c r="B13" s="21" t="n"/>
      <c r="C13" s="17" t="inlineStr">
        <is>
          <t>PM-03 - Add a new patient</t>
        </is>
      </c>
      <c r="D13" s="8" t="inlineStr">
        <is>
          <t>Core model and service</t>
        </is>
      </c>
      <c r="E13" s="18" t="n">
        <v>6</v>
      </c>
      <c r="F13" s="19">
        <f>E13*F$2</f>
        <v/>
      </c>
      <c r="G13" s="19">
        <f>SUM(E13:F13)*G$2</f>
        <v/>
      </c>
      <c r="H13" s="19">
        <f>G13*H$2</f>
        <v/>
      </c>
      <c r="I13" s="19">
        <f>G13*I$2</f>
        <v/>
      </c>
      <c r="J13" s="19">
        <f>SUM(G13:I13)</f>
        <v/>
      </c>
      <c r="K13" s="19">
        <f>J13/8</f>
        <v/>
      </c>
      <c r="L13" t="inlineStr">
        <is>
          <t>ASWD-2</t>
        </is>
      </c>
      <c r="M13" t="inlineStr">
        <is>
          <t>F1</t>
        </is>
      </c>
      <c r="N13" t="inlineStr">
        <is>
          <t>M1</t>
        </is>
      </c>
    </row>
    <row r="14" ht="26" customHeight="1">
      <c r="A14" s="21" t="n"/>
      <c r="B14" s="21" t="n"/>
      <c r="C14" s="21" t="n"/>
      <c r="D14" s="8" t="inlineStr">
        <is>
          <t>ViewModel, DTO and converters</t>
        </is>
      </c>
      <c r="E14" s="18" t="n">
        <v>6</v>
      </c>
      <c r="F14" s="19">
        <f>E14*F$2</f>
        <v/>
      </c>
      <c r="G14" s="19">
        <f>SUM(E14:F14)*G$2</f>
        <v/>
      </c>
      <c r="H14" s="19">
        <f>G14*H$2</f>
        <v/>
      </c>
      <c r="I14" s="19">
        <f>G14*I$2</f>
        <v/>
      </c>
      <c r="J14" s="19">
        <f>SUM(G14:I14)</f>
        <v/>
      </c>
      <c r="K14" s="19">
        <f>J14/8</f>
        <v/>
      </c>
      <c r="L14" t="inlineStr">
        <is>
          <t>ASWD-2</t>
        </is>
      </c>
      <c r="M14" t="inlineStr">
        <is>
          <t>F1</t>
        </is>
      </c>
      <c r="N14" t="inlineStr">
        <is>
          <t>M1</t>
        </is>
      </c>
    </row>
    <row r="15" ht="26" customHeight="1">
      <c r="A15" s="21" t="n"/>
      <c r="B15" s="21" t="n"/>
      <c r="C15" s="20" t="n"/>
      <c r="D15" s="8" t="inlineStr">
        <is>
          <t>Screen (XAML) and command wiring</t>
        </is>
      </c>
      <c r="E15" s="18" t="n">
        <v>4</v>
      </c>
      <c r="F15" s="19">
        <f>E15*F$2</f>
        <v/>
      </c>
      <c r="G15" s="19">
        <f>SUM(E15:F15)*G$2</f>
        <v/>
      </c>
      <c r="H15" s="19">
        <f>G15*H$2</f>
        <v/>
      </c>
      <c r="I15" s="19">
        <f>G15*I$2</f>
        <v/>
      </c>
      <c r="J15" s="19">
        <f>SUM(G15:I15)</f>
        <v/>
      </c>
      <c r="K15" s="19">
        <f>J15/8</f>
        <v/>
      </c>
      <c r="L15" t="inlineStr">
        <is>
          <t>ASWD-2</t>
        </is>
      </c>
      <c r="M15" t="inlineStr">
        <is>
          <t>F1</t>
        </is>
      </c>
      <c r="N15" t="inlineStr">
        <is>
          <t>M1</t>
        </is>
      </c>
    </row>
    <row r="16" ht="26" customHeight="1">
      <c r="A16" s="21" t="n"/>
      <c r="B16" s="21" t="n"/>
      <c r="C16" s="17" t="inlineStr">
        <is>
          <t>PM-04 - View and edit a patient, and fix the two data bugs</t>
        </is>
      </c>
      <c r="D16" s="8" t="inlineStr">
        <is>
          <t>Core model and service</t>
        </is>
      </c>
      <c r="E16" s="18" t="n">
        <v>4</v>
      </c>
      <c r="F16" s="19">
        <f>E16*F$2</f>
        <v/>
      </c>
      <c r="G16" s="19">
        <f>SUM(E16:F16)*G$2</f>
        <v/>
      </c>
      <c r="H16" s="19">
        <f>G16*H$2</f>
        <v/>
      </c>
      <c r="I16" s="19">
        <f>G16*I$2</f>
        <v/>
      </c>
      <c r="J16" s="19">
        <f>SUM(G16:I16)</f>
        <v/>
      </c>
      <c r="K16" s="19">
        <f>J16/8</f>
        <v/>
      </c>
      <c r="L16" t="inlineStr">
        <is>
          <t>ASWD-2</t>
        </is>
      </c>
      <c r="M16" t="inlineStr">
        <is>
          <t>F1</t>
        </is>
      </c>
      <c r="N16" t="inlineStr">
        <is>
          <t>M1</t>
        </is>
      </c>
    </row>
    <row r="17" ht="26" customHeight="1">
      <c r="A17" s="21" t="n"/>
      <c r="B17" s="21" t="n"/>
      <c r="C17" s="21" t="n"/>
      <c r="D17" s="8" t="inlineStr">
        <is>
          <t>ViewModel, DTO and converters</t>
        </is>
      </c>
      <c r="E17" s="18" t="n">
        <v>2</v>
      </c>
      <c r="F17" s="19">
        <f>E17*F$2</f>
        <v/>
      </c>
      <c r="G17" s="19">
        <f>SUM(E17:F17)*G$2</f>
        <v/>
      </c>
      <c r="H17" s="19">
        <f>G17*H$2</f>
        <v/>
      </c>
      <c r="I17" s="19">
        <f>G17*I$2</f>
        <v/>
      </c>
      <c r="J17" s="19">
        <f>SUM(G17:I17)</f>
        <v/>
      </c>
      <c r="K17" s="19">
        <f>J17/8</f>
        <v/>
      </c>
      <c r="L17" t="inlineStr">
        <is>
          <t>ASWD-2</t>
        </is>
      </c>
      <c r="M17" t="inlineStr">
        <is>
          <t>F1</t>
        </is>
      </c>
      <c r="N17" t="inlineStr">
        <is>
          <t>M1</t>
        </is>
      </c>
    </row>
    <row r="18" ht="26" customHeight="1">
      <c r="A18" s="21" t="n"/>
      <c r="B18" s="21" t="n"/>
      <c r="C18" s="20" t="n"/>
      <c r="D18" s="8" t="inlineStr">
        <is>
          <t>Screen (XAML) and command wiring</t>
        </is>
      </c>
      <c r="E18" s="18" t="n">
        <v>2</v>
      </c>
      <c r="F18" s="19">
        <f>E18*F$2</f>
        <v/>
      </c>
      <c r="G18" s="19">
        <f>SUM(E18:F18)*G$2</f>
        <v/>
      </c>
      <c r="H18" s="19">
        <f>G18*H$2</f>
        <v/>
      </c>
      <c r="I18" s="19">
        <f>G18*I$2</f>
        <v/>
      </c>
      <c r="J18" s="19">
        <f>SUM(G18:I18)</f>
        <v/>
      </c>
      <c r="K18" s="19">
        <f>J18/8</f>
        <v/>
      </c>
      <c r="L18" t="inlineStr">
        <is>
          <t>ASWD-2</t>
        </is>
      </c>
      <c r="M18" t="inlineStr">
        <is>
          <t>F1</t>
        </is>
      </c>
      <c r="N18" t="inlineStr">
        <is>
          <t>M1</t>
        </is>
      </c>
    </row>
    <row r="19" ht="26" customHeight="1">
      <c r="A19" s="21" t="n"/>
      <c r="B19" s="21" t="n"/>
      <c r="C19" s="17" t="inlineStr">
        <is>
          <t>PM-05 - Delete a patient (soft delete)</t>
        </is>
      </c>
      <c r="D19" s="8" t="inlineStr">
        <is>
          <t>Core model and service</t>
        </is>
      </c>
      <c r="E19" s="18" t="n">
        <v>3</v>
      </c>
      <c r="F19" s="19">
        <f>E19*F$2</f>
        <v/>
      </c>
      <c r="G19" s="19">
        <f>SUM(E19:F19)*G$2</f>
        <v/>
      </c>
      <c r="H19" s="19">
        <f>G19*H$2</f>
        <v/>
      </c>
      <c r="I19" s="19">
        <f>G19*I$2</f>
        <v/>
      </c>
      <c r="J19" s="19">
        <f>SUM(G19:I19)</f>
        <v/>
      </c>
      <c r="K19" s="19">
        <f>J19/8</f>
        <v/>
      </c>
      <c r="L19" t="inlineStr">
        <is>
          <t>ASWD-2</t>
        </is>
      </c>
      <c r="M19" t="inlineStr">
        <is>
          <t>F1</t>
        </is>
      </c>
      <c r="N19" t="inlineStr">
        <is>
          <t>M1</t>
        </is>
      </c>
    </row>
    <row r="20" ht="26" customHeight="1">
      <c r="A20" s="21" t="n"/>
      <c r="B20" s="21" t="n"/>
      <c r="C20" s="21" t="n"/>
      <c r="D20" s="8" t="inlineStr">
        <is>
          <t>ViewModel, DTO and converters</t>
        </is>
      </c>
      <c r="E20" s="18" t="n">
        <v>2</v>
      </c>
      <c r="F20" s="19">
        <f>E20*F$2</f>
        <v/>
      </c>
      <c r="G20" s="19">
        <f>SUM(E20:F20)*G$2</f>
        <v/>
      </c>
      <c r="H20" s="19">
        <f>G20*H$2</f>
        <v/>
      </c>
      <c r="I20" s="19">
        <f>G20*I$2</f>
        <v/>
      </c>
      <c r="J20" s="19">
        <f>SUM(G20:I20)</f>
        <v/>
      </c>
      <c r="K20" s="19">
        <f>J20/8</f>
        <v/>
      </c>
      <c r="L20" t="inlineStr">
        <is>
          <t>ASWD-2</t>
        </is>
      </c>
      <c r="M20" t="inlineStr">
        <is>
          <t>F1</t>
        </is>
      </c>
      <c r="N20" t="inlineStr">
        <is>
          <t>M1</t>
        </is>
      </c>
    </row>
    <row r="21" ht="26" customHeight="1">
      <c r="A21" s="21" t="n"/>
      <c r="B21" s="21" t="n"/>
      <c r="C21" s="20" t="n"/>
      <c r="D21" s="8" t="inlineStr">
        <is>
          <t>Screen (XAML) and command wiring</t>
        </is>
      </c>
      <c r="E21" s="18" t="n">
        <v>2</v>
      </c>
      <c r="F21" s="19">
        <f>E21*F$2</f>
        <v/>
      </c>
      <c r="G21" s="19">
        <f>SUM(E21:F21)*G$2</f>
        <v/>
      </c>
      <c r="H21" s="19">
        <f>G21*H$2</f>
        <v/>
      </c>
      <c r="I21" s="19">
        <f>G21*I$2</f>
        <v/>
      </c>
      <c r="J21" s="19">
        <f>SUM(G21:I21)</f>
        <v/>
      </c>
      <c r="K21" s="19">
        <f>J21/8</f>
        <v/>
      </c>
      <c r="L21" t="inlineStr">
        <is>
          <t>ASWD-2</t>
        </is>
      </c>
      <c r="M21" t="inlineStr">
        <is>
          <t>F1</t>
        </is>
      </c>
      <c r="N21" t="inlineStr">
        <is>
          <t>M1</t>
        </is>
      </c>
    </row>
    <row r="22" ht="26" customHeight="1">
      <c r="A22" s="21" t="n"/>
      <c r="B22" s="21" t="n"/>
      <c r="C22" s="17" t="inlineStr">
        <is>
          <t>PM-06 - Save the patient's contact details</t>
        </is>
      </c>
      <c r="D22" s="8" t="inlineStr">
        <is>
          <t>Core model and service</t>
        </is>
      </c>
      <c r="E22" s="18" t="n">
        <v>3</v>
      </c>
      <c r="F22" s="19">
        <f>E22*F$2</f>
        <v/>
      </c>
      <c r="G22" s="19">
        <f>SUM(E22:F22)*G$2</f>
        <v/>
      </c>
      <c r="H22" s="19">
        <f>G22*H$2</f>
        <v/>
      </c>
      <c r="I22" s="19">
        <f>G22*I$2</f>
        <v/>
      </c>
      <c r="J22" s="19">
        <f>SUM(G22:I22)</f>
        <v/>
      </c>
      <c r="K22" s="19">
        <f>J22/8</f>
        <v/>
      </c>
      <c r="L22" t="inlineStr">
        <is>
          <t>ASWD-2</t>
        </is>
      </c>
      <c r="M22" t="inlineStr">
        <is>
          <t>F1</t>
        </is>
      </c>
      <c r="N22" t="inlineStr">
        <is>
          <t>M1</t>
        </is>
      </c>
    </row>
    <row r="23" ht="26" customHeight="1">
      <c r="A23" s="21" t="n"/>
      <c r="B23" s="21" t="n"/>
      <c r="C23" s="21" t="n"/>
      <c r="D23" s="8" t="inlineStr">
        <is>
          <t>ViewModel, DTO and converters</t>
        </is>
      </c>
      <c r="E23" s="18" t="n">
        <v>2</v>
      </c>
      <c r="F23" s="19">
        <f>E23*F$2</f>
        <v/>
      </c>
      <c r="G23" s="19">
        <f>SUM(E23:F23)*G$2</f>
        <v/>
      </c>
      <c r="H23" s="19">
        <f>G23*H$2</f>
        <v/>
      </c>
      <c r="I23" s="19">
        <f>G23*I$2</f>
        <v/>
      </c>
      <c r="J23" s="19">
        <f>SUM(G23:I23)</f>
        <v/>
      </c>
      <c r="K23" s="19">
        <f>J23/8</f>
        <v/>
      </c>
      <c r="L23" t="inlineStr">
        <is>
          <t>ASWD-2</t>
        </is>
      </c>
      <c r="M23" t="inlineStr">
        <is>
          <t>F1</t>
        </is>
      </c>
      <c r="N23" t="inlineStr">
        <is>
          <t>M1</t>
        </is>
      </c>
    </row>
    <row r="24" ht="26" customHeight="1">
      <c r="A24" s="21" t="n"/>
      <c r="B24" s="21" t="n"/>
      <c r="C24" s="20" t="n"/>
      <c r="D24" s="8" t="inlineStr">
        <is>
          <t>Screen (XAML) and command wiring</t>
        </is>
      </c>
      <c r="E24" s="18" t="n">
        <v>2</v>
      </c>
      <c r="F24" s="19">
        <f>E24*F$2</f>
        <v/>
      </c>
      <c r="G24" s="19">
        <f>SUM(E24:F24)*G$2</f>
        <v/>
      </c>
      <c r="H24" s="19">
        <f>G24*H$2</f>
        <v/>
      </c>
      <c r="I24" s="19">
        <f>G24*I$2</f>
        <v/>
      </c>
      <c r="J24" s="19">
        <f>SUM(G24:I24)</f>
        <v/>
      </c>
      <c r="K24" s="19">
        <f>J24/8</f>
        <v/>
      </c>
      <c r="L24" t="inlineStr">
        <is>
          <t>ASWD-2</t>
        </is>
      </c>
      <c r="M24" t="inlineStr">
        <is>
          <t>F1</t>
        </is>
      </c>
      <c r="N24" t="inlineStr">
        <is>
          <t>M1</t>
        </is>
      </c>
    </row>
    <row r="25" ht="26" customHeight="1">
      <c r="A25" s="21" t="n"/>
      <c r="B25" s="21" t="n"/>
      <c r="C25" s="17" t="inlineStr">
        <is>
          <t>PM-40 - Add the AccuLink fields AccuSync is missing</t>
        </is>
      </c>
      <c r="D25" s="8" t="inlineStr">
        <is>
          <t>Core model and service</t>
        </is>
      </c>
      <c r="E25" s="18" t="n">
        <v>10</v>
      </c>
      <c r="F25" s="19">
        <f>E25*F$2</f>
        <v/>
      </c>
      <c r="G25" s="19">
        <f>SUM(E25:F25)*G$2</f>
        <v/>
      </c>
      <c r="H25" s="19">
        <f>G25*H$2</f>
        <v/>
      </c>
      <c r="I25" s="19">
        <f>G25*I$2</f>
        <v/>
      </c>
      <c r="J25" s="19">
        <f>SUM(G25:I25)</f>
        <v/>
      </c>
      <c r="K25" s="19">
        <f>J25/8</f>
        <v/>
      </c>
      <c r="L25" t="inlineStr">
        <is>
          <t>ASWD-2</t>
        </is>
      </c>
      <c r="M25" t="inlineStr">
        <is>
          <t>F1</t>
        </is>
      </c>
      <c r="N25" t="inlineStr">
        <is>
          <t>M1</t>
        </is>
      </c>
    </row>
    <row r="26" ht="26" customHeight="1">
      <c r="A26" s="21" t="n"/>
      <c r="B26" s="21" t="n"/>
      <c r="C26" s="21" t="n"/>
      <c r="D26" s="8" t="inlineStr">
        <is>
          <t>ViewModel, DTO and converters</t>
        </is>
      </c>
      <c r="E26" s="18" t="n">
        <v>8</v>
      </c>
      <c r="F26" s="19">
        <f>E26*F$2</f>
        <v/>
      </c>
      <c r="G26" s="19">
        <f>SUM(E26:F26)*G$2</f>
        <v/>
      </c>
      <c r="H26" s="19">
        <f>G26*H$2</f>
        <v/>
      </c>
      <c r="I26" s="19">
        <f>G26*I$2</f>
        <v/>
      </c>
      <c r="J26" s="19">
        <f>SUM(G26:I26)</f>
        <v/>
      </c>
      <c r="K26" s="19">
        <f>J26/8</f>
        <v/>
      </c>
      <c r="L26" t="inlineStr">
        <is>
          <t>ASWD-2</t>
        </is>
      </c>
      <c r="M26" t="inlineStr">
        <is>
          <t>F1</t>
        </is>
      </c>
      <c r="N26" t="inlineStr">
        <is>
          <t>M1</t>
        </is>
      </c>
    </row>
    <row r="27" ht="26" customHeight="1">
      <c r="A27" s="21" t="n"/>
      <c r="B27" s="21" t="n"/>
      <c r="C27" s="20" t="n"/>
      <c r="D27" s="8" t="inlineStr">
        <is>
          <t>Screen (XAML) and command wiring</t>
        </is>
      </c>
      <c r="E27" s="18" t="n">
        <v>12</v>
      </c>
      <c r="F27" s="19">
        <f>E27*F$2</f>
        <v/>
      </c>
      <c r="G27" s="19">
        <f>SUM(E27:F27)*G$2</f>
        <v/>
      </c>
      <c r="H27" s="19">
        <f>G27*H$2</f>
        <v/>
      </c>
      <c r="I27" s="19">
        <f>G27*I$2</f>
        <v/>
      </c>
      <c r="J27" s="19">
        <f>SUM(G27:I27)</f>
        <v/>
      </c>
      <c r="K27" s="19">
        <f>J27/8</f>
        <v/>
      </c>
      <c r="L27" t="inlineStr">
        <is>
          <t>ASWD-2</t>
        </is>
      </c>
      <c r="M27" t="inlineStr">
        <is>
          <t>F1</t>
        </is>
      </c>
      <c r="N27" t="inlineStr">
        <is>
          <t>M1</t>
        </is>
      </c>
    </row>
    <row r="28" ht="26" customHeight="1">
      <c r="A28" s="21" t="n"/>
      <c r="B28" s="21" t="n"/>
      <c r="C28" s="17" t="inlineStr">
        <is>
          <t>PM-39 - Add the ALGO device fields</t>
        </is>
      </c>
      <c r="D28" s="8" t="inlineStr">
        <is>
          <t>Core model and service</t>
        </is>
      </c>
      <c r="E28" s="18" t="n">
        <v>10</v>
      </c>
      <c r="F28" s="19">
        <f>E28*F$2</f>
        <v/>
      </c>
      <c r="G28" s="19">
        <f>SUM(E28:F28)*G$2</f>
        <v/>
      </c>
      <c r="H28" s="19">
        <f>G28*H$2</f>
        <v/>
      </c>
      <c r="I28" s="19">
        <f>G28*I$2</f>
        <v/>
      </c>
      <c r="J28" s="19">
        <f>SUM(G28:I28)</f>
        <v/>
      </c>
      <c r="K28" s="19">
        <f>J28/8</f>
        <v/>
      </c>
      <c r="L28" t="inlineStr">
        <is>
          <t>ASWD-2</t>
        </is>
      </c>
      <c r="M28" t="inlineStr">
        <is>
          <t>F1</t>
        </is>
      </c>
      <c r="N28" t="inlineStr">
        <is>
          <t>M1</t>
        </is>
      </c>
    </row>
    <row r="29" ht="26" customHeight="1">
      <c r="A29" s="21" t="n"/>
      <c r="B29" s="21" t="n"/>
      <c r="C29" s="21" t="n"/>
      <c r="D29" s="8" t="inlineStr">
        <is>
          <t>ViewModel, DTO and converters</t>
        </is>
      </c>
      <c r="E29" s="18" t="n">
        <v>8</v>
      </c>
      <c r="F29" s="19">
        <f>E29*F$2</f>
        <v/>
      </c>
      <c r="G29" s="19">
        <f>SUM(E29:F29)*G$2</f>
        <v/>
      </c>
      <c r="H29" s="19">
        <f>G29*H$2</f>
        <v/>
      </c>
      <c r="I29" s="19">
        <f>G29*I$2</f>
        <v/>
      </c>
      <c r="J29" s="19">
        <f>SUM(G29:I29)</f>
        <v/>
      </c>
      <c r="K29" s="19">
        <f>J29/8</f>
        <v/>
      </c>
      <c r="L29" t="inlineStr">
        <is>
          <t>ASWD-2</t>
        </is>
      </c>
      <c r="M29" t="inlineStr">
        <is>
          <t>F1</t>
        </is>
      </c>
      <c r="N29" t="inlineStr">
        <is>
          <t>M1</t>
        </is>
      </c>
    </row>
    <row r="30" ht="26" customHeight="1">
      <c r="A30" s="21" t="n"/>
      <c r="B30" s="20" t="n"/>
      <c r="C30" s="20" t="n"/>
      <c r="D30" s="8" t="inlineStr">
        <is>
          <t>Screen (XAML) and command wiring</t>
        </is>
      </c>
      <c r="E30" s="18" t="n">
        <v>12</v>
      </c>
      <c r="F30" s="19">
        <f>E30*F$2</f>
        <v/>
      </c>
      <c r="G30" s="19">
        <f>SUM(E30:F30)*G$2</f>
        <v/>
      </c>
      <c r="H30" s="19">
        <f>G30*H$2</f>
        <v/>
      </c>
      <c r="I30" s="19">
        <f>G30*I$2</f>
        <v/>
      </c>
      <c r="J30" s="19">
        <f>SUM(G30:I30)</f>
        <v/>
      </c>
      <c r="K30" s="19">
        <f>J30/8</f>
        <v/>
      </c>
      <c r="L30" t="inlineStr">
        <is>
          <t>ASWD-2</t>
        </is>
      </c>
      <c r="M30" t="inlineStr">
        <is>
          <t>F1</t>
        </is>
      </c>
      <c r="N30" t="inlineStr">
        <is>
          <t>M1</t>
        </is>
      </c>
    </row>
    <row r="31" ht="26" customHeight="1">
      <c r="A31" s="21" t="n"/>
      <c r="B31" s="17" t="inlineStr">
        <is>
          <t>F2 - Shared Add/Edit/Delete and Save/Revert/Undo framework</t>
        </is>
      </c>
      <c r="C31" s="17" t="inlineStr">
        <is>
          <t>PM-07 - Build the shared Add, Edit and Delete buttons</t>
        </is>
      </c>
      <c r="D31" s="8" t="inlineStr">
        <is>
          <t>Implementation</t>
        </is>
      </c>
      <c r="E31" s="18" t="n">
        <v>8</v>
      </c>
      <c r="F31" s="19">
        <f>E31*F$2</f>
        <v/>
      </c>
      <c r="G31" s="19">
        <f>SUM(E31:F31)*G$2</f>
        <v/>
      </c>
      <c r="H31" s="19">
        <f>G31*H$2</f>
        <v/>
      </c>
      <c r="I31" s="19">
        <f>G31*I$2</f>
        <v/>
      </c>
      <c r="J31" s="19">
        <f>SUM(G31:I31)</f>
        <v/>
      </c>
      <c r="K31" s="19">
        <f>J31/8</f>
        <v/>
      </c>
      <c r="L31" t="inlineStr">
        <is>
          <t>ASWD-2</t>
        </is>
      </c>
      <c r="M31" t="inlineStr">
        <is>
          <t>F2</t>
        </is>
      </c>
      <c r="N31" t="inlineStr">
        <is>
          <t>M1</t>
        </is>
      </c>
    </row>
    <row r="32" ht="26" customHeight="1">
      <c r="A32" s="21" t="n"/>
      <c r="B32" s="21" t="n"/>
      <c r="C32" s="20" t="n"/>
      <c r="D32" s="8" t="inlineStr">
        <is>
          <t>Verify against a clean checkout</t>
        </is>
      </c>
      <c r="E32" s="18" t="n">
        <v>6</v>
      </c>
      <c r="F32" s="19">
        <f>E32*F$2</f>
        <v/>
      </c>
      <c r="G32" s="19">
        <f>SUM(E32:F32)*G$2</f>
        <v/>
      </c>
      <c r="H32" s="19">
        <f>G32*H$2</f>
        <v/>
      </c>
      <c r="I32" s="19">
        <f>G32*I$2</f>
        <v/>
      </c>
      <c r="J32" s="19">
        <f>SUM(G32:I32)</f>
        <v/>
      </c>
      <c r="K32" s="19">
        <f>J32/8</f>
        <v/>
      </c>
      <c r="L32" t="inlineStr">
        <is>
          <t>ASWD-2</t>
        </is>
      </c>
      <c r="M32" t="inlineStr">
        <is>
          <t>F2</t>
        </is>
      </c>
      <c r="N32" t="inlineStr">
        <is>
          <t>M1</t>
        </is>
      </c>
    </row>
    <row r="33" ht="26" customHeight="1">
      <c r="A33" s="21" t="n"/>
      <c r="B33" s="21" t="n"/>
      <c r="C33" s="17" t="inlineStr">
        <is>
          <t>PM-08 - Build the shared Save, Revert and Undo</t>
        </is>
      </c>
      <c r="D33" s="8" t="inlineStr">
        <is>
          <t>Implementation</t>
        </is>
      </c>
      <c r="E33" s="18" t="n">
        <v>8</v>
      </c>
      <c r="F33" s="19">
        <f>E33*F$2</f>
        <v/>
      </c>
      <c r="G33" s="19">
        <f>SUM(E33:F33)*G$2</f>
        <v/>
      </c>
      <c r="H33" s="19">
        <f>G33*H$2</f>
        <v/>
      </c>
      <c r="I33" s="19">
        <f>G33*I$2</f>
        <v/>
      </c>
      <c r="J33" s="19">
        <f>SUM(G33:I33)</f>
        <v/>
      </c>
      <c r="K33" s="19">
        <f>J33/8</f>
        <v/>
      </c>
      <c r="L33" t="inlineStr">
        <is>
          <t>ASWD-2</t>
        </is>
      </c>
      <c r="M33" t="inlineStr">
        <is>
          <t>F2</t>
        </is>
      </c>
      <c r="N33" t="inlineStr">
        <is>
          <t>M1</t>
        </is>
      </c>
    </row>
    <row r="34" ht="26" customHeight="1">
      <c r="A34" s="21" t="n"/>
      <c r="B34" s="21" t="n"/>
      <c r="C34" s="20" t="n"/>
      <c r="D34" s="8" t="inlineStr">
        <is>
          <t>Verify against a clean checkout</t>
        </is>
      </c>
      <c r="E34" s="18" t="n">
        <v>6</v>
      </c>
      <c r="F34" s="19">
        <f>E34*F$2</f>
        <v/>
      </c>
      <c r="G34" s="19">
        <f>SUM(E34:F34)*G$2</f>
        <v/>
      </c>
      <c r="H34" s="19">
        <f>G34*H$2</f>
        <v/>
      </c>
      <c r="I34" s="19">
        <f>G34*I$2</f>
        <v/>
      </c>
      <c r="J34" s="19">
        <f>SUM(G34:I34)</f>
        <v/>
      </c>
      <c r="K34" s="19">
        <f>J34/8</f>
        <v/>
      </c>
      <c r="L34" t="inlineStr">
        <is>
          <t>ASWD-2</t>
        </is>
      </c>
      <c r="M34" t="inlineStr">
        <is>
          <t>F2</t>
        </is>
      </c>
      <c r="N34" t="inlineStr">
        <is>
          <t>M1</t>
        </is>
      </c>
    </row>
    <row r="35" ht="26" customHeight="1">
      <c r="A35" s="21" t="n"/>
      <c r="B35" s="21" t="n"/>
      <c r="C35" s="17" t="inlineStr">
        <is>
          <t>PM-09 - Warn before losing unsaved changes</t>
        </is>
      </c>
      <c r="D35" s="8" t="inlineStr">
        <is>
          <t>Core model and service</t>
        </is>
      </c>
      <c r="E35" s="18" t="n">
        <v>6</v>
      </c>
      <c r="F35" s="19">
        <f>E35*F$2</f>
        <v/>
      </c>
      <c r="G35" s="19">
        <f>SUM(E35:F35)*G$2</f>
        <v/>
      </c>
      <c r="H35" s="19">
        <f>G35*H$2</f>
        <v/>
      </c>
      <c r="I35" s="19">
        <f>G35*I$2</f>
        <v/>
      </c>
      <c r="J35" s="19">
        <f>SUM(G35:I35)</f>
        <v/>
      </c>
      <c r="K35" s="19">
        <f>J35/8</f>
        <v/>
      </c>
      <c r="L35" t="inlineStr">
        <is>
          <t>ASWD-2</t>
        </is>
      </c>
      <c r="M35" t="inlineStr">
        <is>
          <t>F2</t>
        </is>
      </c>
      <c r="N35" t="inlineStr">
        <is>
          <t>M1</t>
        </is>
      </c>
    </row>
    <row r="36" ht="26" customHeight="1">
      <c r="A36" s="21" t="n"/>
      <c r="B36" s="21" t="n"/>
      <c r="C36" s="21" t="n"/>
      <c r="D36" s="8" t="inlineStr">
        <is>
          <t>ViewModel, DTO and converters</t>
        </is>
      </c>
      <c r="E36" s="18" t="n">
        <v>5</v>
      </c>
      <c r="F36" s="19">
        <f>E36*F$2</f>
        <v/>
      </c>
      <c r="G36" s="19">
        <f>SUM(E36:F36)*G$2</f>
        <v/>
      </c>
      <c r="H36" s="19">
        <f>G36*H$2</f>
        <v/>
      </c>
      <c r="I36" s="19">
        <f>G36*I$2</f>
        <v/>
      </c>
      <c r="J36" s="19">
        <f>SUM(G36:I36)</f>
        <v/>
      </c>
      <c r="K36" s="19">
        <f>J36/8</f>
        <v/>
      </c>
      <c r="L36" t="inlineStr">
        <is>
          <t>ASWD-2</t>
        </is>
      </c>
      <c r="M36" t="inlineStr">
        <is>
          <t>F2</t>
        </is>
      </c>
      <c r="N36" t="inlineStr">
        <is>
          <t>M1</t>
        </is>
      </c>
    </row>
    <row r="37" ht="26" customHeight="1">
      <c r="A37" s="21" t="n"/>
      <c r="B37" s="20" t="n"/>
      <c r="C37" s="20" t="n"/>
      <c r="D37" s="8" t="inlineStr">
        <is>
          <t>Screen (XAML) and command wiring</t>
        </is>
      </c>
      <c r="E37" s="18" t="n">
        <v>7</v>
      </c>
      <c r="F37" s="19">
        <f>E37*F$2</f>
        <v/>
      </c>
      <c r="G37" s="19">
        <f>SUM(E37:F37)*G$2</f>
        <v/>
      </c>
      <c r="H37" s="19">
        <f>G37*H$2</f>
        <v/>
      </c>
      <c r="I37" s="19">
        <f>G37*I$2</f>
        <v/>
      </c>
      <c r="J37" s="19">
        <f>SUM(G37:I37)</f>
        <v/>
      </c>
      <c r="K37" s="19">
        <f>J37/8</f>
        <v/>
      </c>
      <c r="L37" t="inlineStr">
        <is>
          <t>ASWD-2</t>
        </is>
      </c>
      <c r="M37" t="inlineStr">
        <is>
          <t>F2</t>
        </is>
      </c>
      <c r="N37" t="inlineStr">
        <is>
          <t>M1</t>
        </is>
      </c>
    </row>
    <row r="38" ht="26" customHeight="1">
      <c r="A38" s="21" t="n"/>
      <c r="B38" s="17" t="inlineStr">
        <is>
          <t>F3 - Show and search the patient list</t>
        </is>
      </c>
      <c r="C38" s="17" t="inlineStr">
        <is>
          <t>PM-10 - Show the patient list</t>
        </is>
      </c>
      <c r="D38" s="8" t="inlineStr">
        <is>
          <t>Core model and service</t>
        </is>
      </c>
      <c r="E38" s="18" t="n">
        <v>2</v>
      </c>
      <c r="F38" s="19">
        <f>E38*F$2</f>
        <v/>
      </c>
      <c r="G38" s="19">
        <f>SUM(E38:F38)*G$2</f>
        <v/>
      </c>
      <c r="H38" s="19">
        <f>G38*H$2</f>
        <v/>
      </c>
      <c r="I38" s="19">
        <f>G38*I$2</f>
        <v/>
      </c>
      <c r="J38" s="19">
        <f>SUM(G38:I38)</f>
        <v/>
      </c>
      <c r="K38" s="19">
        <f>J38/8</f>
        <v/>
      </c>
      <c r="L38" t="inlineStr">
        <is>
          <t>ASWD-2</t>
        </is>
      </c>
      <c r="M38" t="inlineStr">
        <is>
          <t>F3</t>
        </is>
      </c>
      <c r="N38" t="inlineStr">
        <is>
          <t>M1</t>
        </is>
      </c>
    </row>
    <row r="39" ht="26" customHeight="1">
      <c r="A39" s="21" t="n"/>
      <c r="B39" s="21" t="n"/>
      <c r="C39" s="21" t="n"/>
      <c r="D39" s="8" t="inlineStr">
        <is>
          <t>ViewModel, DTO and converters</t>
        </is>
      </c>
      <c r="E39" s="18" t="n">
        <v>2</v>
      </c>
      <c r="F39" s="19">
        <f>E39*F$2</f>
        <v/>
      </c>
      <c r="G39" s="19">
        <f>SUM(E39:F39)*G$2</f>
        <v/>
      </c>
      <c r="H39" s="19">
        <f>G39*H$2</f>
        <v/>
      </c>
      <c r="I39" s="19">
        <f>G39*I$2</f>
        <v/>
      </c>
      <c r="J39" s="19">
        <f>SUM(G39:I39)</f>
        <v/>
      </c>
      <c r="K39" s="19">
        <f>J39/8</f>
        <v/>
      </c>
      <c r="L39" t="inlineStr">
        <is>
          <t>ASWD-2</t>
        </is>
      </c>
      <c r="M39" t="inlineStr">
        <is>
          <t>F3</t>
        </is>
      </c>
      <c r="N39" t="inlineStr">
        <is>
          <t>M1</t>
        </is>
      </c>
    </row>
    <row r="40" ht="26" customHeight="1">
      <c r="A40" s="21" t="n"/>
      <c r="B40" s="21" t="n"/>
      <c r="C40" s="20" t="n"/>
      <c r="D40" s="8" t="inlineStr">
        <is>
          <t>Screen (XAML) and command wiring</t>
        </is>
      </c>
      <c r="E40" s="18" t="n">
        <v>4</v>
      </c>
      <c r="F40" s="19">
        <f>E40*F$2</f>
        <v/>
      </c>
      <c r="G40" s="19">
        <f>SUM(E40:F40)*G$2</f>
        <v/>
      </c>
      <c r="H40" s="19">
        <f>G40*H$2</f>
        <v/>
      </c>
      <c r="I40" s="19">
        <f>G40*I$2</f>
        <v/>
      </c>
      <c r="J40" s="19">
        <f>SUM(G40:I40)</f>
        <v/>
      </c>
      <c r="K40" s="19">
        <f>J40/8</f>
        <v/>
      </c>
      <c r="L40" t="inlineStr">
        <is>
          <t>ASWD-2</t>
        </is>
      </c>
      <c r="M40" t="inlineStr">
        <is>
          <t>F3</t>
        </is>
      </c>
      <c r="N40" t="inlineStr">
        <is>
          <t>M1</t>
        </is>
      </c>
    </row>
    <row r="41" ht="26" customHeight="1">
      <c r="A41" s="21" t="n"/>
      <c r="B41" s="21" t="n"/>
      <c r="C41" s="17" t="inlineStr">
        <is>
          <t>PM-11 - Search the patient list</t>
        </is>
      </c>
      <c r="D41" s="8" t="inlineStr">
        <is>
          <t>Core model and service</t>
        </is>
      </c>
      <c r="E41" s="18" t="n">
        <v>4</v>
      </c>
      <c r="F41" s="19">
        <f>E41*F$2</f>
        <v/>
      </c>
      <c r="G41" s="19">
        <f>SUM(E41:F41)*G$2</f>
        <v/>
      </c>
      <c r="H41" s="19">
        <f>G41*H$2</f>
        <v/>
      </c>
      <c r="I41" s="19">
        <f>G41*I$2</f>
        <v/>
      </c>
      <c r="J41" s="19">
        <f>SUM(G41:I41)</f>
        <v/>
      </c>
      <c r="K41" s="19">
        <f>J41/8</f>
        <v/>
      </c>
      <c r="L41" t="inlineStr">
        <is>
          <t>ASWD-2</t>
        </is>
      </c>
      <c r="M41" t="inlineStr">
        <is>
          <t>F3</t>
        </is>
      </c>
      <c r="N41" t="inlineStr">
        <is>
          <t>M1</t>
        </is>
      </c>
    </row>
    <row r="42" ht="26" customHeight="1">
      <c r="A42" s="21" t="n"/>
      <c r="B42" s="21" t="n"/>
      <c r="C42" s="21" t="n"/>
      <c r="D42" s="8" t="inlineStr">
        <is>
          <t>ViewModel, DTO and converters</t>
        </is>
      </c>
      <c r="E42" s="18" t="n">
        <v>2</v>
      </c>
      <c r="F42" s="19">
        <f>E42*F$2</f>
        <v/>
      </c>
      <c r="G42" s="19">
        <f>SUM(E42:F42)*G$2</f>
        <v/>
      </c>
      <c r="H42" s="19">
        <f>G42*H$2</f>
        <v/>
      </c>
      <c r="I42" s="19">
        <f>G42*I$2</f>
        <v/>
      </c>
      <c r="J42" s="19">
        <f>SUM(G42:I42)</f>
        <v/>
      </c>
      <c r="K42" s="19">
        <f>J42/8</f>
        <v/>
      </c>
      <c r="L42" t="inlineStr">
        <is>
          <t>ASWD-2</t>
        </is>
      </c>
      <c r="M42" t="inlineStr">
        <is>
          <t>F3</t>
        </is>
      </c>
      <c r="N42" t="inlineStr">
        <is>
          <t>M1</t>
        </is>
      </c>
    </row>
    <row r="43" ht="26" customHeight="1">
      <c r="A43" s="21" t="n"/>
      <c r="B43" s="20" t="n"/>
      <c r="C43" s="20" t="n"/>
      <c r="D43" s="8" t="inlineStr">
        <is>
          <t>Screen (XAML) and command wiring</t>
        </is>
      </c>
      <c r="E43" s="18" t="n">
        <v>2</v>
      </c>
      <c r="F43" s="19">
        <f>E43*F$2</f>
        <v/>
      </c>
      <c r="G43" s="19">
        <f>SUM(E43:F43)*G$2</f>
        <v/>
      </c>
      <c r="H43" s="19">
        <f>G43*H$2</f>
        <v/>
      </c>
      <c r="I43" s="19">
        <f>G43*I$2</f>
        <v/>
      </c>
      <c r="J43" s="19">
        <f>SUM(G43:I43)</f>
        <v/>
      </c>
      <c r="K43" s="19">
        <f>J43/8</f>
        <v/>
      </c>
      <c r="L43" t="inlineStr">
        <is>
          <t>ASWD-2</t>
        </is>
      </c>
      <c r="M43" t="inlineStr">
        <is>
          <t>F3</t>
        </is>
      </c>
      <c r="N43" t="inlineStr">
        <is>
          <t>M1</t>
        </is>
      </c>
    </row>
    <row r="44" ht="26" customHeight="1">
      <c r="A44" s="21" t="n"/>
      <c r="B44" s="17" t="inlineStr">
        <is>
          <t>F4 - Show, delete and reassign test results, with permissions enforced</t>
        </is>
      </c>
      <c r="C44" s="17" t="inlineStr">
        <is>
          <t>PM-12 - Create the test result tables</t>
        </is>
      </c>
      <c r="D44" s="8" t="inlineStr">
        <is>
          <t>Test entity and EF Core configuration</t>
        </is>
      </c>
      <c r="E44" s="18" t="n">
        <v>8</v>
      </c>
      <c r="F44" s="19">
        <f>E44*F$2</f>
        <v/>
      </c>
      <c r="G44" s="19">
        <f>SUM(E44:F44)*G$2</f>
        <v/>
      </c>
      <c r="H44" s="19">
        <f>G44*H$2</f>
        <v/>
      </c>
      <c r="I44" s="19">
        <f>G44*I$2</f>
        <v/>
      </c>
      <c r="J44" s="19">
        <f>SUM(G44:I44)</f>
        <v/>
      </c>
      <c r="K44" s="19">
        <f>J44/8</f>
        <v/>
      </c>
      <c r="L44" t="inlineStr">
        <is>
          <t>ASWD-2</t>
        </is>
      </c>
      <c r="M44" t="inlineStr">
        <is>
          <t>F4</t>
        </is>
      </c>
      <c r="N44" t="inlineStr">
        <is>
          <t>M1</t>
        </is>
      </c>
    </row>
    <row r="45" ht="26" customHeight="1">
      <c r="A45" s="21" t="n"/>
      <c r="B45" s="21" t="n"/>
      <c r="C45" s="21" t="n"/>
      <c r="D45" s="8" t="inlineStr">
        <is>
          <t>Migration and DbContext wiring</t>
        </is>
      </c>
      <c r="E45" s="18" t="n">
        <v>6</v>
      </c>
      <c r="F45" s="19">
        <f>E45*F$2</f>
        <v/>
      </c>
      <c r="G45" s="19">
        <f>SUM(E45:F45)*G$2</f>
        <v/>
      </c>
      <c r="H45" s="19">
        <f>G45*H$2</f>
        <v/>
      </c>
      <c r="I45" s="19">
        <f>G45*I$2</f>
        <v/>
      </c>
      <c r="J45" s="19">
        <f>SUM(G45:I45)</f>
        <v/>
      </c>
      <c r="K45" s="19">
        <f>J45/8</f>
        <v/>
      </c>
      <c r="L45" t="inlineStr">
        <is>
          <t>ASWD-2</t>
        </is>
      </c>
      <c r="M45" t="inlineStr">
        <is>
          <t>F4</t>
        </is>
      </c>
      <c r="N45" t="inlineStr">
        <is>
          <t>M1</t>
        </is>
      </c>
    </row>
    <row r="46" ht="26" customHeight="1">
      <c r="A46" s="21" t="n"/>
      <c r="B46" s="21" t="n"/>
      <c r="C46" s="20" t="n"/>
      <c r="D46" s="8" t="inlineStr">
        <is>
          <t>Repository and service methods</t>
        </is>
      </c>
      <c r="E46" s="18" t="n">
        <v>8</v>
      </c>
      <c r="F46" s="19">
        <f>E46*F$2</f>
        <v/>
      </c>
      <c r="G46" s="19">
        <f>SUM(E46:F46)*G$2</f>
        <v/>
      </c>
      <c r="H46" s="19">
        <f>G46*H$2</f>
        <v/>
      </c>
      <c r="I46" s="19">
        <f>G46*I$2</f>
        <v/>
      </c>
      <c r="J46" s="19">
        <f>SUM(G46:I46)</f>
        <v/>
      </c>
      <c r="K46" s="19">
        <f>J46/8</f>
        <v/>
      </c>
      <c r="L46" t="inlineStr">
        <is>
          <t>ASWD-2</t>
        </is>
      </c>
      <c r="M46" t="inlineStr">
        <is>
          <t>F4</t>
        </is>
      </c>
      <c r="N46" t="inlineStr">
        <is>
          <t>M1</t>
        </is>
      </c>
    </row>
    <row r="47" ht="26" customHeight="1">
      <c r="A47" s="21" t="n"/>
      <c r="B47" s="21" t="n"/>
      <c r="C47" s="17" t="inlineStr">
        <is>
          <t>PM-13 - Show the patient's test list</t>
        </is>
      </c>
      <c r="D47" s="8" t="inlineStr">
        <is>
          <t>Core model and service</t>
        </is>
      </c>
      <c r="E47" s="18" t="n">
        <v>8</v>
      </c>
      <c r="F47" s="19">
        <f>E47*F$2</f>
        <v/>
      </c>
      <c r="G47" s="19">
        <f>SUM(E47:F47)*G$2</f>
        <v/>
      </c>
      <c r="H47" s="19">
        <f>G47*H$2</f>
        <v/>
      </c>
      <c r="I47" s="19">
        <f>G47*I$2</f>
        <v/>
      </c>
      <c r="J47" s="19">
        <f>SUM(G47:I47)</f>
        <v/>
      </c>
      <c r="K47" s="19">
        <f>J47/8</f>
        <v/>
      </c>
      <c r="L47" t="inlineStr">
        <is>
          <t>ASWD-2</t>
        </is>
      </c>
      <c r="M47" t="inlineStr">
        <is>
          <t>F4</t>
        </is>
      </c>
      <c r="N47" t="inlineStr">
        <is>
          <t>M1</t>
        </is>
      </c>
    </row>
    <row r="48" ht="26" customHeight="1">
      <c r="A48" s="21" t="n"/>
      <c r="B48" s="21" t="n"/>
      <c r="C48" s="21" t="n"/>
      <c r="D48" s="8" t="inlineStr">
        <is>
          <t>ViewModel, DTO and converters</t>
        </is>
      </c>
      <c r="E48" s="18" t="n">
        <v>6</v>
      </c>
      <c r="F48" s="19">
        <f>E48*F$2</f>
        <v/>
      </c>
      <c r="G48" s="19">
        <f>SUM(E48:F48)*G$2</f>
        <v/>
      </c>
      <c r="H48" s="19">
        <f>G48*H$2</f>
        <v/>
      </c>
      <c r="I48" s="19">
        <f>G48*I$2</f>
        <v/>
      </c>
      <c r="J48" s="19">
        <f>SUM(G48:I48)</f>
        <v/>
      </c>
      <c r="K48" s="19">
        <f>J48/8</f>
        <v/>
      </c>
      <c r="L48" t="inlineStr">
        <is>
          <t>ASWD-2</t>
        </is>
      </c>
      <c r="M48" t="inlineStr">
        <is>
          <t>F4</t>
        </is>
      </c>
      <c r="N48" t="inlineStr">
        <is>
          <t>M1</t>
        </is>
      </c>
    </row>
    <row r="49" ht="26" customHeight="1">
      <c r="A49" s="21" t="n"/>
      <c r="B49" s="21" t="n"/>
      <c r="C49" s="20" t="n"/>
      <c r="D49" s="8" t="inlineStr">
        <is>
          <t>Screen (XAML) and command wiring</t>
        </is>
      </c>
      <c r="E49" s="18" t="n">
        <v>4</v>
      </c>
      <c r="F49" s="19">
        <f>E49*F$2</f>
        <v/>
      </c>
      <c r="G49" s="19">
        <f>SUM(E49:F49)*G$2</f>
        <v/>
      </c>
      <c r="H49" s="19">
        <f>G49*H$2</f>
        <v/>
      </c>
      <c r="I49" s="19">
        <f>G49*I$2</f>
        <v/>
      </c>
      <c r="J49" s="19">
        <f>SUM(G49:I49)</f>
        <v/>
      </c>
      <c r="K49" s="19">
        <f>J49/8</f>
        <v/>
      </c>
      <c r="L49" t="inlineStr">
        <is>
          <t>ASWD-2</t>
        </is>
      </c>
      <c r="M49" t="inlineStr">
        <is>
          <t>F4</t>
        </is>
      </c>
      <c r="N49" t="inlineStr">
        <is>
          <t>M1</t>
        </is>
      </c>
    </row>
    <row r="50" ht="26" customHeight="1">
      <c r="A50" s="21" t="n"/>
      <c r="B50" s="21" t="n"/>
      <c r="C50" s="17" t="inlineStr">
        <is>
          <t>PM-14 - Delete one test entry</t>
        </is>
      </c>
      <c r="D50" s="8" t="inlineStr">
        <is>
          <t>Core model and service</t>
        </is>
      </c>
      <c r="E50" s="18" t="n">
        <v>4</v>
      </c>
      <c r="F50" s="19">
        <f>E50*F$2</f>
        <v/>
      </c>
      <c r="G50" s="19">
        <f>SUM(E50:F50)*G$2</f>
        <v/>
      </c>
      <c r="H50" s="19">
        <f>G50*H$2</f>
        <v/>
      </c>
      <c r="I50" s="19">
        <f>G50*I$2</f>
        <v/>
      </c>
      <c r="J50" s="19">
        <f>SUM(G50:I50)</f>
        <v/>
      </c>
      <c r="K50" s="19">
        <f>J50/8</f>
        <v/>
      </c>
      <c r="L50" t="inlineStr">
        <is>
          <t>ASWD-2</t>
        </is>
      </c>
      <c r="M50" t="inlineStr">
        <is>
          <t>F4</t>
        </is>
      </c>
      <c r="N50" t="inlineStr">
        <is>
          <t>M1</t>
        </is>
      </c>
    </row>
    <row r="51" ht="26" customHeight="1">
      <c r="A51" s="21" t="n"/>
      <c r="B51" s="21" t="n"/>
      <c r="C51" s="21" t="n"/>
      <c r="D51" s="8" t="inlineStr">
        <is>
          <t>ViewModel, DTO and converters</t>
        </is>
      </c>
      <c r="E51" s="18" t="n">
        <v>2</v>
      </c>
      <c r="F51" s="19">
        <f>E51*F$2</f>
        <v/>
      </c>
      <c r="G51" s="19">
        <f>SUM(E51:F51)*G$2</f>
        <v/>
      </c>
      <c r="H51" s="19">
        <f>G51*H$2</f>
        <v/>
      </c>
      <c r="I51" s="19">
        <f>G51*I$2</f>
        <v/>
      </c>
      <c r="J51" s="19">
        <f>SUM(G51:I51)</f>
        <v/>
      </c>
      <c r="K51" s="19">
        <f>J51/8</f>
        <v/>
      </c>
      <c r="L51" t="inlineStr">
        <is>
          <t>ASWD-2</t>
        </is>
      </c>
      <c r="M51" t="inlineStr">
        <is>
          <t>F4</t>
        </is>
      </c>
      <c r="N51" t="inlineStr">
        <is>
          <t>M1</t>
        </is>
      </c>
    </row>
    <row r="52" ht="26" customHeight="1">
      <c r="A52" s="21" t="n"/>
      <c r="B52" s="21" t="n"/>
      <c r="C52" s="20" t="n"/>
      <c r="D52" s="8" t="inlineStr">
        <is>
          <t>Screen (XAML) and command wiring</t>
        </is>
      </c>
      <c r="E52" s="18" t="n">
        <v>2</v>
      </c>
      <c r="F52" s="19">
        <f>E52*F$2</f>
        <v/>
      </c>
      <c r="G52" s="19">
        <f>SUM(E52:F52)*G$2</f>
        <v/>
      </c>
      <c r="H52" s="19">
        <f>G52*H$2</f>
        <v/>
      </c>
      <c r="I52" s="19">
        <f>G52*I$2</f>
        <v/>
      </c>
      <c r="J52" s="19">
        <f>SUM(G52:I52)</f>
        <v/>
      </c>
      <c r="K52" s="19">
        <f>J52/8</f>
        <v/>
      </c>
      <c r="L52" t="inlineStr">
        <is>
          <t>ASWD-2</t>
        </is>
      </c>
      <c r="M52" t="inlineStr">
        <is>
          <t>F4</t>
        </is>
      </c>
      <c r="N52" t="inlineStr">
        <is>
          <t>M1</t>
        </is>
      </c>
    </row>
    <row r="53" ht="26" customHeight="1">
      <c r="A53" s="21" t="n"/>
      <c r="B53" s="21" t="n"/>
      <c r="C53" s="17" t="inlineStr">
        <is>
          <t>PM-15 - Move a test to the correct patient</t>
        </is>
      </c>
      <c r="D53" s="8" t="inlineStr">
        <is>
          <t>Core model and service</t>
        </is>
      </c>
      <c r="E53" s="18" t="n">
        <v>4</v>
      </c>
      <c r="F53" s="19">
        <f>E53*F$2</f>
        <v/>
      </c>
      <c r="G53" s="19">
        <f>SUM(E53:F53)*G$2</f>
        <v/>
      </c>
      <c r="H53" s="19">
        <f>G53*H$2</f>
        <v/>
      </c>
      <c r="I53" s="19">
        <f>G53*I$2</f>
        <v/>
      </c>
      <c r="J53" s="19">
        <f>SUM(G53:I53)</f>
        <v/>
      </c>
      <c r="K53" s="19">
        <f>J53/8</f>
        <v/>
      </c>
      <c r="L53" t="inlineStr">
        <is>
          <t>ASWD-2</t>
        </is>
      </c>
      <c r="M53" t="inlineStr">
        <is>
          <t>F4</t>
        </is>
      </c>
      <c r="N53" t="inlineStr">
        <is>
          <t>M1</t>
        </is>
      </c>
    </row>
    <row r="54" ht="26" customHeight="1">
      <c r="A54" s="21" t="n"/>
      <c r="B54" s="21" t="n"/>
      <c r="C54" s="21" t="n"/>
      <c r="D54" s="8" t="inlineStr">
        <is>
          <t>ViewModel, DTO and converters</t>
        </is>
      </c>
      <c r="E54" s="18" t="n">
        <v>2</v>
      </c>
      <c r="F54" s="19">
        <f>E54*F$2</f>
        <v/>
      </c>
      <c r="G54" s="19">
        <f>SUM(E54:F54)*G$2</f>
        <v/>
      </c>
      <c r="H54" s="19">
        <f>G54*H$2</f>
        <v/>
      </c>
      <c r="I54" s="19">
        <f>G54*I$2</f>
        <v/>
      </c>
      <c r="J54" s="19">
        <f>SUM(G54:I54)</f>
        <v/>
      </c>
      <c r="K54" s="19">
        <f>J54/8</f>
        <v/>
      </c>
      <c r="L54" t="inlineStr">
        <is>
          <t>ASWD-2</t>
        </is>
      </c>
      <c r="M54" t="inlineStr">
        <is>
          <t>F4</t>
        </is>
      </c>
      <c r="N54" t="inlineStr">
        <is>
          <t>M1</t>
        </is>
      </c>
    </row>
    <row r="55" ht="26" customHeight="1">
      <c r="A55" s="21" t="n"/>
      <c r="B55" s="21" t="n"/>
      <c r="C55" s="20" t="n"/>
      <c r="D55" s="8" t="inlineStr">
        <is>
          <t>Screen (XAML) and command wiring</t>
        </is>
      </c>
      <c r="E55" s="18" t="n">
        <v>2</v>
      </c>
      <c r="F55" s="19">
        <f>E55*F$2</f>
        <v/>
      </c>
      <c r="G55" s="19">
        <f>SUM(E55:F55)*G$2</f>
        <v/>
      </c>
      <c r="H55" s="19">
        <f>G55*H$2</f>
        <v/>
      </c>
      <c r="I55" s="19">
        <f>G55*I$2</f>
        <v/>
      </c>
      <c r="J55" s="19">
        <f>SUM(G55:I55)</f>
        <v/>
      </c>
      <c r="K55" s="19">
        <f>J55/8</f>
        <v/>
      </c>
      <c r="L55" t="inlineStr">
        <is>
          <t>ASWD-2</t>
        </is>
      </c>
      <c r="M55" t="inlineStr">
        <is>
          <t>F4</t>
        </is>
      </c>
      <c r="N55" t="inlineStr">
        <is>
          <t>M1</t>
        </is>
      </c>
    </row>
    <row r="56" ht="26" customHeight="1">
      <c r="A56" s="21" t="n"/>
      <c r="B56" s="21" t="n"/>
      <c r="C56" s="17" t="inlineStr">
        <is>
          <t>PM-21 - Enforce patient permissions</t>
        </is>
      </c>
      <c r="D56" s="8" t="inlineStr">
        <is>
          <t>Rule in the Core or Application layer</t>
        </is>
      </c>
      <c r="E56" s="18" t="n">
        <v>8</v>
      </c>
      <c r="F56" s="19">
        <f>E56*F$2</f>
        <v/>
      </c>
      <c r="G56" s="19">
        <f>SUM(E56:F56)*G$2</f>
        <v/>
      </c>
      <c r="H56" s="19">
        <f>G56*H$2</f>
        <v/>
      </c>
      <c r="I56" s="19">
        <f>G56*I$2</f>
        <v/>
      </c>
      <c r="J56" s="19">
        <f>SUM(G56:I56)</f>
        <v/>
      </c>
      <c r="K56" s="19">
        <f>J56/8</f>
        <v/>
      </c>
      <c r="L56" t="inlineStr">
        <is>
          <t>ASWD-2</t>
        </is>
      </c>
      <c r="M56" t="inlineStr">
        <is>
          <t>F4</t>
        </is>
      </c>
      <c r="N56" t="inlineStr">
        <is>
          <t>M1</t>
        </is>
      </c>
    </row>
    <row r="57" ht="26" customHeight="1">
      <c r="A57" s="21" t="n"/>
      <c r="B57" s="20" t="n"/>
      <c r="C57" s="20" t="n"/>
      <c r="D57" s="8" t="inlineStr">
        <is>
          <t>Apply at every call site and hide the blocked actions</t>
        </is>
      </c>
      <c r="E57" s="18" t="n">
        <v>8</v>
      </c>
      <c r="F57" s="19">
        <f>E57*F$2</f>
        <v/>
      </c>
      <c r="G57" s="19">
        <f>SUM(E57:F57)*G$2</f>
        <v/>
      </c>
      <c r="H57" s="19">
        <f>G57*H$2</f>
        <v/>
      </c>
      <c r="I57" s="19">
        <f>G57*I$2</f>
        <v/>
      </c>
      <c r="J57" s="19">
        <f>SUM(G57:I57)</f>
        <v/>
      </c>
      <c r="K57" s="19">
        <f>J57/8</f>
        <v/>
      </c>
      <c r="L57" t="inlineStr">
        <is>
          <t>ASWD-2</t>
        </is>
      </c>
      <c r="M57" t="inlineStr">
        <is>
          <t>F4</t>
        </is>
      </c>
      <c r="N57" t="inlineStr">
        <is>
          <t>M1</t>
        </is>
      </c>
    </row>
    <row r="58" ht="26" customHeight="1">
      <c r="A58" s="21" t="n"/>
      <c r="B58" s="17" t="inlineStr">
        <is>
          <t>F5 - Store the field setup, validate input and enforce mandatory fields</t>
        </is>
      </c>
      <c r="C58" s="17" t="inlineStr">
        <is>
          <t>PM-16 - Create the field setup tables</t>
        </is>
      </c>
      <c r="D58" s="8" t="inlineStr">
        <is>
          <t>Field setup entity and EF Core configuration</t>
        </is>
      </c>
      <c r="E58" s="18" t="n">
        <v>7</v>
      </c>
      <c r="F58" s="19">
        <f>E58*F$2</f>
        <v/>
      </c>
      <c r="G58" s="19">
        <f>SUM(E58:F58)*G$2</f>
        <v/>
      </c>
      <c r="H58" s="19">
        <f>G58*H$2</f>
        <v/>
      </c>
      <c r="I58" s="19">
        <f>G58*I$2</f>
        <v/>
      </c>
      <c r="J58" s="19">
        <f>SUM(G58:I58)</f>
        <v/>
      </c>
      <c r="K58" s="19">
        <f>J58/8</f>
        <v/>
      </c>
      <c r="L58" t="inlineStr">
        <is>
          <t>ASWD-2</t>
        </is>
      </c>
      <c r="M58" t="inlineStr">
        <is>
          <t>F5</t>
        </is>
      </c>
      <c r="N58" t="inlineStr">
        <is>
          <t>M1</t>
        </is>
      </c>
    </row>
    <row r="59" ht="26" customHeight="1">
      <c r="A59" s="21" t="n"/>
      <c r="B59" s="21" t="n"/>
      <c r="C59" s="21" t="n"/>
      <c r="D59" s="8" t="inlineStr">
        <is>
          <t>Migration and DbContext wiring</t>
        </is>
      </c>
      <c r="E59" s="18" t="n">
        <v>4</v>
      </c>
      <c r="F59" s="19">
        <f>E59*F$2</f>
        <v/>
      </c>
      <c r="G59" s="19">
        <f>SUM(E59:F59)*G$2</f>
        <v/>
      </c>
      <c r="H59" s="19">
        <f>G59*H$2</f>
        <v/>
      </c>
      <c r="I59" s="19">
        <f>G59*I$2</f>
        <v/>
      </c>
      <c r="J59" s="19">
        <f>SUM(G59:I59)</f>
        <v/>
      </c>
      <c r="K59" s="19">
        <f>J59/8</f>
        <v/>
      </c>
      <c r="L59" t="inlineStr">
        <is>
          <t>ASWD-2</t>
        </is>
      </c>
      <c r="M59" t="inlineStr">
        <is>
          <t>F5</t>
        </is>
      </c>
      <c r="N59" t="inlineStr">
        <is>
          <t>M1</t>
        </is>
      </c>
    </row>
    <row r="60" ht="26" customHeight="1">
      <c r="A60" s="21" t="n"/>
      <c r="B60" s="21" t="n"/>
      <c r="C60" s="20" t="n"/>
      <c r="D60" s="8" t="inlineStr">
        <is>
          <t>Repository and service methods</t>
        </is>
      </c>
      <c r="E60" s="18" t="n">
        <v>8</v>
      </c>
      <c r="F60" s="19">
        <f>E60*F$2</f>
        <v/>
      </c>
      <c r="G60" s="19">
        <f>SUM(E60:F60)*G$2</f>
        <v/>
      </c>
      <c r="H60" s="19">
        <f>G60*H$2</f>
        <v/>
      </c>
      <c r="I60" s="19">
        <f>G60*I$2</f>
        <v/>
      </c>
      <c r="J60" s="19">
        <f>SUM(G60:I60)</f>
        <v/>
      </c>
      <c r="K60" s="19">
        <f>J60/8</f>
        <v/>
      </c>
      <c r="L60" t="inlineStr">
        <is>
          <t>ASWD-2</t>
        </is>
      </c>
      <c r="M60" t="inlineStr">
        <is>
          <t>F5</t>
        </is>
      </c>
      <c r="N60" t="inlineStr">
        <is>
          <t>M1</t>
        </is>
      </c>
    </row>
    <row r="61" ht="26" customHeight="1">
      <c r="A61" s="21" t="n"/>
      <c r="B61" s="21" t="n"/>
      <c r="C61" s="17" t="inlineStr">
        <is>
          <t>PM-18 - Validate a patient record and show what is wrong</t>
        </is>
      </c>
      <c r="D61" s="8" t="inlineStr">
        <is>
          <t>PM-18 - Validate a patient record and show what is wrong</t>
        </is>
      </c>
      <c r="E61" s="18" t="n">
        <v>8</v>
      </c>
      <c r="F61" s="19">
        <f>E61*F$2</f>
        <v/>
      </c>
      <c r="G61" s="19">
        <f>SUM(E61:F61)*G$2</f>
        <v/>
      </c>
      <c r="H61" s="19">
        <f>G61*H$2</f>
        <v/>
      </c>
      <c r="I61" s="19">
        <f>G61*I$2</f>
        <v/>
      </c>
      <c r="J61" s="19">
        <f>SUM(G61:I61)</f>
        <v/>
      </c>
      <c r="K61" s="19">
        <f>J61/8</f>
        <v/>
      </c>
      <c r="L61" t="inlineStr">
        <is>
          <t>ASWD-2</t>
        </is>
      </c>
      <c r="M61" t="inlineStr">
        <is>
          <t>F5</t>
        </is>
      </c>
      <c r="N61" t="inlineStr">
        <is>
          <t>M1</t>
        </is>
      </c>
    </row>
    <row r="62" ht="26" customHeight="1">
      <c r="A62" s="21" t="n"/>
      <c r="B62" s="21" t="n"/>
      <c r="C62" s="17" t="inlineStr">
        <is>
          <t>PM-19 - Show which fields are mandatory</t>
        </is>
      </c>
      <c r="D62" s="8" t="inlineStr">
        <is>
          <t>Settings entity and storage</t>
        </is>
      </c>
      <c r="E62" s="18" t="n">
        <v>6</v>
      </c>
      <c r="F62" s="19">
        <f>E62*F$2</f>
        <v/>
      </c>
      <c r="G62" s="19">
        <f>SUM(E62:F62)*G$2</f>
        <v/>
      </c>
      <c r="H62" s="19">
        <f>G62*H$2</f>
        <v/>
      </c>
      <c r="I62" s="19">
        <f>G62*I$2</f>
        <v/>
      </c>
      <c r="J62" s="19">
        <f>SUM(G62:I62)</f>
        <v/>
      </c>
      <c r="K62" s="19">
        <f>J62/8</f>
        <v/>
      </c>
      <c r="L62" t="inlineStr">
        <is>
          <t>ASWD-2</t>
        </is>
      </c>
      <c r="M62" t="inlineStr">
        <is>
          <t>F5</t>
        </is>
      </c>
      <c r="N62" t="inlineStr">
        <is>
          <t>M1</t>
        </is>
      </c>
    </row>
    <row r="63" ht="26" customHeight="1">
      <c r="A63" s="21" t="n"/>
      <c r="B63" s="21" t="n"/>
      <c r="C63" s="21" t="n"/>
      <c r="D63" s="8" t="inlineStr">
        <is>
          <t>Configuration screen and validation</t>
        </is>
      </c>
      <c r="E63" s="18" t="n">
        <v>8</v>
      </c>
      <c r="F63" s="19">
        <f>E63*F$2</f>
        <v/>
      </c>
      <c r="G63" s="19">
        <f>SUM(E63:F63)*G$2</f>
        <v/>
      </c>
      <c r="H63" s="19">
        <f>G63*H$2</f>
        <v/>
      </c>
      <c r="I63" s="19">
        <f>G63*I$2</f>
        <v/>
      </c>
      <c r="J63" s="19">
        <f>SUM(G63:I63)</f>
        <v/>
      </c>
      <c r="K63" s="19">
        <f>J63/8</f>
        <v/>
      </c>
      <c r="L63" t="inlineStr">
        <is>
          <t>ASWD-2</t>
        </is>
      </c>
      <c r="M63" t="inlineStr">
        <is>
          <t>F5</t>
        </is>
      </c>
      <c r="N63" t="inlineStr">
        <is>
          <t>M1</t>
        </is>
      </c>
    </row>
    <row r="64" ht="26" customHeight="1">
      <c r="A64" s="21" t="n"/>
      <c r="B64" s="21" t="n"/>
      <c r="C64" s="20" t="n"/>
      <c r="D64" s="8" t="inlineStr">
        <is>
          <t>Apply the setting everywhere it is read</t>
        </is>
      </c>
      <c r="E64" s="18" t="n">
        <v>5</v>
      </c>
      <c r="F64" s="19">
        <f>E64*F$2</f>
        <v/>
      </c>
      <c r="G64" s="19">
        <f>SUM(E64:F64)*G$2</f>
        <v/>
      </c>
      <c r="H64" s="19">
        <f>G64*H$2</f>
        <v/>
      </c>
      <c r="I64" s="19">
        <f>G64*I$2</f>
        <v/>
      </c>
      <c r="J64" s="19">
        <f>SUM(G64:I64)</f>
        <v/>
      </c>
      <c r="K64" s="19">
        <f>J64/8</f>
        <v/>
      </c>
      <c r="L64" t="inlineStr">
        <is>
          <t>ASWD-2</t>
        </is>
      </c>
      <c r="M64" t="inlineStr">
        <is>
          <t>F5</t>
        </is>
      </c>
      <c r="N64" t="inlineStr">
        <is>
          <t>M1</t>
        </is>
      </c>
    </row>
    <row r="65" ht="26" customHeight="1">
      <c r="A65" s="21" t="n"/>
      <c r="B65" s="21" t="n"/>
      <c r="C65" s="17" t="inlineStr">
        <is>
          <t>PM-20 - Only allow save when mandatory fields are filled</t>
        </is>
      </c>
      <c r="D65" s="8" t="inlineStr">
        <is>
          <t>Settings entity and storage</t>
        </is>
      </c>
      <c r="E65" s="18" t="n">
        <v>2</v>
      </c>
      <c r="F65" s="19">
        <f>E65*F$2</f>
        <v/>
      </c>
      <c r="G65" s="19">
        <f>SUM(E65:F65)*G$2</f>
        <v/>
      </c>
      <c r="H65" s="19">
        <f>G65*H$2</f>
        <v/>
      </c>
      <c r="I65" s="19">
        <f>G65*I$2</f>
        <v/>
      </c>
      <c r="J65" s="19">
        <f>SUM(G65:I65)</f>
        <v/>
      </c>
      <c r="K65" s="19">
        <f>J65/8</f>
        <v/>
      </c>
      <c r="L65" t="inlineStr">
        <is>
          <t>ASWD-2</t>
        </is>
      </c>
      <c r="M65" t="inlineStr">
        <is>
          <t>F5</t>
        </is>
      </c>
      <c r="N65" t="inlineStr">
        <is>
          <t>M1</t>
        </is>
      </c>
    </row>
    <row r="66" ht="26" customHeight="1">
      <c r="A66" s="21" t="n"/>
      <c r="B66" s="21" t="n"/>
      <c r="C66" s="21" t="n"/>
      <c r="D66" s="8" t="inlineStr">
        <is>
          <t>Configuration screen and validation</t>
        </is>
      </c>
      <c r="E66" s="18" t="n">
        <v>2</v>
      </c>
      <c r="F66" s="19">
        <f>E66*F$2</f>
        <v/>
      </c>
      <c r="G66" s="19">
        <f>SUM(E66:F66)*G$2</f>
        <v/>
      </c>
      <c r="H66" s="19">
        <f>G66*H$2</f>
        <v/>
      </c>
      <c r="I66" s="19">
        <f>G66*I$2</f>
        <v/>
      </c>
      <c r="J66" s="19">
        <f>SUM(G66:I66)</f>
        <v/>
      </c>
      <c r="K66" s="19">
        <f>J66/8</f>
        <v/>
      </c>
      <c r="L66" t="inlineStr">
        <is>
          <t>ASWD-2</t>
        </is>
      </c>
      <c r="M66" t="inlineStr">
        <is>
          <t>F5</t>
        </is>
      </c>
      <c r="N66" t="inlineStr">
        <is>
          <t>M1</t>
        </is>
      </c>
    </row>
    <row r="67" ht="26" customHeight="1">
      <c r="A67" s="21" t="n"/>
      <c r="B67" s="20" t="n"/>
      <c r="C67" s="20" t="n"/>
      <c r="D67" s="8" t="inlineStr">
        <is>
          <t>Apply the setting everywhere it is read</t>
        </is>
      </c>
      <c r="E67" s="18" t="n">
        <v>2</v>
      </c>
      <c r="F67" s="19">
        <f>E67*F$2</f>
        <v/>
      </c>
      <c r="G67" s="19">
        <f>SUM(E67:F67)*G$2</f>
        <v/>
      </c>
      <c r="H67" s="19">
        <f>G67*H$2</f>
        <v/>
      </c>
      <c r="I67" s="19">
        <f>G67*I$2</f>
        <v/>
      </c>
      <c r="J67" s="19">
        <f>SUM(G67:I67)</f>
        <v/>
      </c>
      <c r="K67" s="19">
        <f>J67/8</f>
        <v/>
      </c>
      <c r="L67" t="inlineStr">
        <is>
          <t>ASWD-2</t>
        </is>
      </c>
      <c r="M67" t="inlineStr">
        <is>
          <t>F5</t>
        </is>
      </c>
      <c r="N67" t="inlineStr">
        <is>
          <t>M1</t>
        </is>
      </c>
    </row>
    <row r="68" ht="26" customHeight="1">
      <c r="A68" s="21" t="n"/>
      <c r="B68" s="17" t="inlineStr">
        <is>
          <t>F6 - Configure patient fields, ID format, list sorting and prompts</t>
        </is>
      </c>
      <c r="C68" s="17" t="inlineStr">
        <is>
          <t>PM-22 - Choose which fields are mandatory and which are shown</t>
        </is>
      </c>
      <c r="D68" s="8" t="inlineStr">
        <is>
          <t>Settings entity and storage</t>
        </is>
      </c>
      <c r="E68" s="18" t="n">
        <v>6</v>
      </c>
      <c r="F68" s="19">
        <f>E68*F$2</f>
        <v/>
      </c>
      <c r="G68" s="19">
        <f>SUM(E68:F68)*G$2</f>
        <v/>
      </c>
      <c r="H68" s="19">
        <f>G68*H$2</f>
        <v/>
      </c>
      <c r="I68" s="19">
        <f>G68*I$2</f>
        <v/>
      </c>
      <c r="J68" s="19">
        <f>SUM(G68:I68)</f>
        <v/>
      </c>
      <c r="K68" s="19">
        <f>J68/8</f>
        <v/>
      </c>
      <c r="L68" t="inlineStr">
        <is>
          <t>ASWD-2</t>
        </is>
      </c>
      <c r="M68" t="inlineStr">
        <is>
          <t>F6</t>
        </is>
      </c>
      <c r="N68" t="inlineStr">
        <is>
          <t>M2</t>
        </is>
      </c>
    </row>
    <row r="69" ht="26" customHeight="1">
      <c r="A69" s="21" t="n"/>
      <c r="B69" s="21" t="n"/>
      <c r="C69" s="21" t="n"/>
      <c r="D69" s="8" t="inlineStr">
        <is>
          <t>Configuration screen and validation</t>
        </is>
      </c>
      <c r="E69" s="18" t="n">
        <v>8</v>
      </c>
      <c r="F69" s="19">
        <f>E69*F$2</f>
        <v/>
      </c>
      <c r="G69" s="19">
        <f>SUM(E69:F69)*G$2</f>
        <v/>
      </c>
      <c r="H69" s="19">
        <f>G69*H$2</f>
        <v/>
      </c>
      <c r="I69" s="19">
        <f>G69*I$2</f>
        <v/>
      </c>
      <c r="J69" s="19">
        <f>SUM(G69:I69)</f>
        <v/>
      </c>
      <c r="K69" s="19">
        <f>J69/8</f>
        <v/>
      </c>
      <c r="L69" t="inlineStr">
        <is>
          <t>ASWD-2</t>
        </is>
      </c>
      <c r="M69" t="inlineStr">
        <is>
          <t>F6</t>
        </is>
      </c>
      <c r="N69" t="inlineStr">
        <is>
          <t>M2</t>
        </is>
      </c>
    </row>
    <row r="70" ht="26" customHeight="1">
      <c r="A70" s="21" t="n"/>
      <c r="B70" s="21" t="n"/>
      <c r="C70" s="20" t="n"/>
      <c r="D70" s="8" t="inlineStr">
        <is>
          <t>Apply the setting everywhere it is read</t>
        </is>
      </c>
      <c r="E70" s="18" t="n">
        <v>6</v>
      </c>
      <c r="F70" s="19">
        <f>E70*F$2</f>
        <v/>
      </c>
      <c r="G70" s="19">
        <f>SUM(E70:F70)*G$2</f>
        <v/>
      </c>
      <c r="H70" s="19">
        <f>G70*H$2</f>
        <v/>
      </c>
      <c r="I70" s="19">
        <f>G70*I$2</f>
        <v/>
      </c>
      <c r="J70" s="19">
        <f>SUM(G70:I70)</f>
        <v/>
      </c>
      <c r="K70" s="19">
        <f>J70/8</f>
        <v/>
      </c>
      <c r="L70" t="inlineStr">
        <is>
          <t>ASWD-2</t>
        </is>
      </c>
      <c r="M70" t="inlineStr">
        <is>
          <t>F6</t>
        </is>
      </c>
      <c r="N70" t="inlineStr">
        <is>
          <t>M2</t>
        </is>
      </c>
    </row>
    <row r="71" ht="26" customHeight="1">
      <c r="A71" s="21" t="n"/>
      <c r="B71" s="21" t="n"/>
      <c r="C71" s="17" t="inlineStr">
        <is>
          <t>PM-23 - Set the patient ID format rule</t>
        </is>
      </c>
      <c r="D71" s="8" t="inlineStr">
        <is>
          <t>Settings entity and storage</t>
        </is>
      </c>
      <c r="E71" s="18" t="n">
        <v>4</v>
      </c>
      <c r="F71" s="19">
        <f>E71*F$2</f>
        <v/>
      </c>
      <c r="G71" s="19">
        <f>SUM(E71:F71)*G$2</f>
        <v/>
      </c>
      <c r="H71" s="19">
        <f>G71*H$2</f>
        <v/>
      </c>
      <c r="I71" s="19">
        <f>G71*I$2</f>
        <v/>
      </c>
      <c r="J71" s="19">
        <f>SUM(G71:I71)</f>
        <v/>
      </c>
      <c r="K71" s="19">
        <f>J71/8</f>
        <v/>
      </c>
      <c r="L71" t="inlineStr">
        <is>
          <t>ASWD-2</t>
        </is>
      </c>
      <c r="M71" t="inlineStr">
        <is>
          <t>F6</t>
        </is>
      </c>
      <c r="N71" t="inlineStr">
        <is>
          <t>M2</t>
        </is>
      </c>
    </row>
    <row r="72" ht="26" customHeight="1">
      <c r="A72" s="21" t="n"/>
      <c r="B72" s="21" t="n"/>
      <c r="C72" s="21" t="n"/>
      <c r="D72" s="8" t="inlineStr">
        <is>
          <t>Configuration screen and validation</t>
        </is>
      </c>
      <c r="E72" s="18" t="n">
        <v>4</v>
      </c>
      <c r="F72" s="19">
        <f>E72*F$2</f>
        <v/>
      </c>
      <c r="G72" s="19">
        <f>SUM(E72:F72)*G$2</f>
        <v/>
      </c>
      <c r="H72" s="19">
        <f>G72*H$2</f>
        <v/>
      </c>
      <c r="I72" s="19">
        <f>G72*I$2</f>
        <v/>
      </c>
      <c r="J72" s="19">
        <f>SUM(G72:I72)</f>
        <v/>
      </c>
      <c r="K72" s="19">
        <f>J72/8</f>
        <v/>
      </c>
      <c r="L72" t="inlineStr">
        <is>
          <t>ASWD-2</t>
        </is>
      </c>
      <c r="M72" t="inlineStr">
        <is>
          <t>F6</t>
        </is>
      </c>
      <c r="N72" t="inlineStr">
        <is>
          <t>M2</t>
        </is>
      </c>
    </row>
    <row r="73" ht="26" customHeight="1">
      <c r="A73" s="21" t="n"/>
      <c r="B73" s="21" t="n"/>
      <c r="C73" s="20" t="n"/>
      <c r="D73" s="8" t="inlineStr">
        <is>
          <t>Apply the setting everywhere it is read</t>
        </is>
      </c>
      <c r="E73" s="18" t="n">
        <v>4</v>
      </c>
      <c r="F73" s="19">
        <f>E73*F$2</f>
        <v/>
      </c>
      <c r="G73" s="19">
        <f>SUM(E73:F73)*G$2</f>
        <v/>
      </c>
      <c r="H73" s="19">
        <f>G73*H$2</f>
        <v/>
      </c>
      <c r="I73" s="19">
        <f>G73*I$2</f>
        <v/>
      </c>
      <c r="J73" s="19">
        <f>SUM(G73:I73)</f>
        <v/>
      </c>
      <c r="K73" s="19">
        <f>J73/8</f>
        <v/>
      </c>
      <c r="L73" t="inlineStr">
        <is>
          <t>ASWD-2</t>
        </is>
      </c>
      <c r="M73" t="inlineStr">
        <is>
          <t>F6</t>
        </is>
      </c>
      <c r="N73" t="inlineStr">
        <is>
          <t>M2</t>
        </is>
      </c>
    </row>
    <row r="74" ht="26" customHeight="1">
      <c r="A74" s="21" t="n"/>
      <c r="B74" s="21" t="n"/>
      <c r="C74" s="17" t="inlineStr">
        <is>
          <t>PM-24 - Set how the patient list is sorted</t>
        </is>
      </c>
      <c r="D74" s="8" t="inlineStr">
        <is>
          <t>Settings entity and storage</t>
        </is>
      </c>
      <c r="E74" s="18" t="n">
        <v>3</v>
      </c>
      <c r="F74" s="19">
        <f>E74*F$2</f>
        <v/>
      </c>
      <c r="G74" s="19">
        <f>SUM(E74:F74)*G$2</f>
        <v/>
      </c>
      <c r="H74" s="19">
        <f>G74*H$2</f>
        <v/>
      </c>
      <c r="I74" s="19">
        <f>G74*I$2</f>
        <v/>
      </c>
      <c r="J74" s="19">
        <f>SUM(G74:I74)</f>
        <v/>
      </c>
      <c r="K74" s="19">
        <f>J74/8</f>
        <v/>
      </c>
      <c r="L74" t="inlineStr">
        <is>
          <t>ASWD-2</t>
        </is>
      </c>
      <c r="M74" t="inlineStr">
        <is>
          <t>F6</t>
        </is>
      </c>
      <c r="N74" t="inlineStr">
        <is>
          <t>M2</t>
        </is>
      </c>
    </row>
    <row r="75" ht="26" customHeight="1">
      <c r="A75" s="21" t="n"/>
      <c r="B75" s="21" t="n"/>
      <c r="C75" s="21" t="n"/>
      <c r="D75" s="8" t="inlineStr">
        <is>
          <t>Configuration screen and validation</t>
        </is>
      </c>
      <c r="E75" s="18" t="n">
        <v>4</v>
      </c>
      <c r="F75" s="19">
        <f>E75*F$2</f>
        <v/>
      </c>
      <c r="G75" s="19">
        <f>SUM(E75:F75)*G$2</f>
        <v/>
      </c>
      <c r="H75" s="19">
        <f>G75*H$2</f>
        <v/>
      </c>
      <c r="I75" s="19">
        <f>G75*I$2</f>
        <v/>
      </c>
      <c r="J75" s="19">
        <f>SUM(G75:I75)</f>
        <v/>
      </c>
      <c r="K75" s="19">
        <f>J75/8</f>
        <v/>
      </c>
      <c r="L75" t="inlineStr">
        <is>
          <t>ASWD-2</t>
        </is>
      </c>
      <c r="M75" t="inlineStr">
        <is>
          <t>F6</t>
        </is>
      </c>
      <c r="N75" t="inlineStr">
        <is>
          <t>M2</t>
        </is>
      </c>
    </row>
    <row r="76" ht="26" customHeight="1">
      <c r="A76" s="21" t="n"/>
      <c r="B76" s="21" t="n"/>
      <c r="C76" s="20" t="n"/>
      <c r="D76" s="8" t="inlineStr">
        <is>
          <t>Apply the setting everywhere it is read</t>
        </is>
      </c>
      <c r="E76" s="18" t="n">
        <v>2</v>
      </c>
      <c r="F76" s="19">
        <f>E76*F$2</f>
        <v/>
      </c>
      <c r="G76" s="19">
        <f>SUM(E76:F76)*G$2</f>
        <v/>
      </c>
      <c r="H76" s="19">
        <f>G76*H$2</f>
        <v/>
      </c>
      <c r="I76" s="19">
        <f>G76*I$2</f>
        <v/>
      </c>
      <c r="J76" s="19">
        <f>SUM(G76:I76)</f>
        <v/>
      </c>
      <c r="K76" s="19">
        <f>J76/8</f>
        <v/>
      </c>
      <c r="L76" t="inlineStr">
        <is>
          <t>ASWD-2</t>
        </is>
      </c>
      <c r="M76" t="inlineStr">
        <is>
          <t>F6</t>
        </is>
      </c>
      <c r="N76" t="inlineStr">
        <is>
          <t>M2</t>
        </is>
      </c>
    </row>
    <row r="77" ht="26" customHeight="1">
      <c r="A77" s="21" t="n"/>
      <c r="B77" s="21" t="n"/>
      <c r="C77" s="17" t="inlineStr">
        <is>
          <t>PM-25 - Turn confirmation prompts on and off</t>
        </is>
      </c>
      <c r="D77" s="8" t="inlineStr">
        <is>
          <t>Settings entity and storage</t>
        </is>
      </c>
      <c r="E77" s="18" t="n">
        <v>4</v>
      </c>
      <c r="F77" s="19">
        <f>E77*F$2</f>
        <v/>
      </c>
      <c r="G77" s="19">
        <f>SUM(E77:F77)*G$2</f>
        <v/>
      </c>
      <c r="H77" s="19">
        <f>G77*H$2</f>
        <v/>
      </c>
      <c r="I77" s="19">
        <f>G77*I$2</f>
        <v/>
      </c>
      <c r="J77" s="19">
        <f>SUM(G77:I77)</f>
        <v/>
      </c>
      <c r="K77" s="19">
        <f>J77/8</f>
        <v/>
      </c>
      <c r="L77" t="inlineStr">
        <is>
          <t>ASWD-2</t>
        </is>
      </c>
      <c r="M77" t="inlineStr">
        <is>
          <t>F6</t>
        </is>
      </c>
      <c r="N77" t="inlineStr">
        <is>
          <t>M2</t>
        </is>
      </c>
    </row>
    <row r="78" ht="26" customHeight="1">
      <c r="A78" s="21" t="n"/>
      <c r="B78" s="21" t="n"/>
      <c r="C78" s="21" t="n"/>
      <c r="D78" s="8" t="inlineStr">
        <is>
          <t>Configuration screen and validation</t>
        </is>
      </c>
      <c r="E78" s="18" t="n">
        <v>4</v>
      </c>
      <c r="F78" s="19">
        <f>E78*F$2</f>
        <v/>
      </c>
      <c r="G78" s="19">
        <f>SUM(E78:F78)*G$2</f>
        <v/>
      </c>
      <c r="H78" s="19">
        <f>G78*H$2</f>
        <v/>
      </c>
      <c r="I78" s="19">
        <f>G78*I$2</f>
        <v/>
      </c>
      <c r="J78" s="19">
        <f>SUM(G78:I78)</f>
        <v/>
      </c>
      <c r="K78" s="19">
        <f>J78/8</f>
        <v/>
      </c>
      <c r="L78" t="inlineStr">
        <is>
          <t>ASWD-2</t>
        </is>
      </c>
      <c r="M78" t="inlineStr">
        <is>
          <t>F6</t>
        </is>
      </c>
      <c r="N78" t="inlineStr">
        <is>
          <t>M2</t>
        </is>
      </c>
    </row>
    <row r="79" ht="26" customHeight="1">
      <c r="A79" s="21" t="n"/>
      <c r="B79" s="21" t="n"/>
      <c r="C79" s="20" t="n"/>
      <c r="D79" s="8" t="inlineStr">
        <is>
          <t>Apply the setting everywhere it is read</t>
        </is>
      </c>
      <c r="E79" s="18" t="n">
        <v>4</v>
      </c>
      <c r="F79" s="19">
        <f>E79*F$2</f>
        <v/>
      </c>
      <c r="G79" s="19">
        <f>SUM(E79:F79)*G$2</f>
        <v/>
      </c>
      <c r="H79" s="19">
        <f>G79*H$2</f>
        <v/>
      </c>
      <c r="I79" s="19">
        <f>G79*I$2</f>
        <v/>
      </c>
      <c r="J79" s="19">
        <f>SUM(G79:I79)</f>
        <v/>
      </c>
      <c r="K79" s="19">
        <f>J79/8</f>
        <v/>
      </c>
      <c r="L79" t="inlineStr">
        <is>
          <t>ASWD-2</t>
        </is>
      </c>
      <c r="M79" t="inlineStr">
        <is>
          <t>F6</t>
        </is>
      </c>
      <c r="N79" t="inlineStr">
        <is>
          <t>M2</t>
        </is>
      </c>
    </row>
    <row r="80" ht="26" customHeight="1">
      <c r="A80" s="21" t="n"/>
      <c r="B80" s="21" t="n"/>
      <c r="C80" s="17" t="inlineStr">
        <is>
          <t>PM-26 - Rename the custom fields</t>
        </is>
      </c>
      <c r="D80" s="8" t="inlineStr">
        <is>
          <t>Settings entity and storage</t>
        </is>
      </c>
      <c r="E80" s="18" t="n">
        <v>4</v>
      </c>
      <c r="F80" s="19">
        <f>E80*F$2</f>
        <v/>
      </c>
      <c r="G80" s="19">
        <f>SUM(E80:F80)*G$2</f>
        <v/>
      </c>
      <c r="H80" s="19">
        <f>G80*H$2</f>
        <v/>
      </c>
      <c r="I80" s="19">
        <f>G80*I$2</f>
        <v/>
      </c>
      <c r="J80" s="19">
        <f>SUM(G80:I80)</f>
        <v/>
      </c>
      <c r="K80" s="19">
        <f>J80/8</f>
        <v/>
      </c>
      <c r="L80" t="inlineStr">
        <is>
          <t>ASWD-2</t>
        </is>
      </c>
      <c r="M80" t="inlineStr">
        <is>
          <t>F6</t>
        </is>
      </c>
      <c r="N80" t="inlineStr">
        <is>
          <t>M2</t>
        </is>
      </c>
    </row>
    <row r="81" ht="26" customHeight="1">
      <c r="A81" s="21" t="n"/>
      <c r="B81" s="21" t="n"/>
      <c r="C81" s="21" t="n"/>
      <c r="D81" s="8" t="inlineStr">
        <is>
          <t>Configuration screen and validation</t>
        </is>
      </c>
      <c r="E81" s="18" t="n">
        <v>4</v>
      </c>
      <c r="F81" s="19">
        <f>E81*F$2</f>
        <v/>
      </c>
      <c r="G81" s="19">
        <f>SUM(E81:F81)*G$2</f>
        <v/>
      </c>
      <c r="H81" s="19">
        <f>G81*H$2</f>
        <v/>
      </c>
      <c r="I81" s="19">
        <f>G81*I$2</f>
        <v/>
      </c>
      <c r="J81" s="19">
        <f>SUM(G81:I81)</f>
        <v/>
      </c>
      <c r="K81" s="19">
        <f>J81/8</f>
        <v/>
      </c>
      <c r="L81" t="inlineStr">
        <is>
          <t>ASWD-2</t>
        </is>
      </c>
      <c r="M81" t="inlineStr">
        <is>
          <t>F6</t>
        </is>
      </c>
      <c r="N81" t="inlineStr">
        <is>
          <t>M2</t>
        </is>
      </c>
    </row>
    <row r="82" ht="26" customHeight="1">
      <c r="A82" s="21" t="n"/>
      <c r="B82" s="21" t="n"/>
      <c r="C82" s="20" t="n"/>
      <c r="D82" s="8" t="inlineStr">
        <is>
          <t>Apply the setting everywhere it is read</t>
        </is>
      </c>
      <c r="E82" s="18" t="n">
        <v>4</v>
      </c>
      <c r="F82" s="19">
        <f>E82*F$2</f>
        <v/>
      </c>
      <c r="G82" s="19">
        <f>SUM(E82:F82)*G$2</f>
        <v/>
      </c>
      <c r="H82" s="19">
        <f>G82*H$2</f>
        <v/>
      </c>
      <c r="I82" s="19">
        <f>G82*I$2</f>
        <v/>
      </c>
      <c r="J82" s="19">
        <f>SUM(G82:I82)</f>
        <v/>
      </c>
      <c r="K82" s="19">
        <f>J82/8</f>
        <v/>
      </c>
      <c r="L82" t="inlineStr">
        <is>
          <t>ASWD-2</t>
        </is>
      </c>
      <c r="M82" t="inlineStr">
        <is>
          <t>F6</t>
        </is>
      </c>
      <c r="N82" t="inlineStr">
        <is>
          <t>M2</t>
        </is>
      </c>
    </row>
    <row r="83" ht="26" customHeight="1">
      <c r="A83" s="21" t="n"/>
      <c r="B83" s="21" t="n"/>
      <c r="C83" s="17" t="inlineStr">
        <is>
          <t>PM-27 - Check the configuration works end to end</t>
        </is>
      </c>
      <c r="D83" s="8" t="inlineStr">
        <is>
          <t>Settings entity and storage</t>
        </is>
      </c>
      <c r="E83" s="18" t="n">
        <v>1</v>
      </c>
      <c r="F83" s="19">
        <f>E83*F$2</f>
        <v/>
      </c>
      <c r="G83" s="19">
        <f>SUM(E83:F83)*G$2</f>
        <v/>
      </c>
      <c r="H83" s="19">
        <f>G83*H$2</f>
        <v/>
      </c>
      <c r="I83" s="19">
        <f>G83*I$2</f>
        <v/>
      </c>
      <c r="J83" s="19">
        <f>SUM(G83:I83)</f>
        <v/>
      </c>
      <c r="K83" s="19">
        <f>J83/8</f>
        <v/>
      </c>
      <c r="L83" t="inlineStr">
        <is>
          <t>ASWD-2</t>
        </is>
      </c>
      <c r="M83" t="inlineStr">
        <is>
          <t>F6</t>
        </is>
      </c>
      <c r="N83" t="inlineStr">
        <is>
          <t>M2</t>
        </is>
      </c>
    </row>
    <row r="84" ht="26" customHeight="1">
      <c r="A84" s="21" t="n"/>
      <c r="B84" s="21" t="n"/>
      <c r="C84" s="21" t="n"/>
      <c r="D84" s="8" t="inlineStr">
        <is>
          <t>Configuration screen and validation</t>
        </is>
      </c>
      <c r="E84" s="18" t="n">
        <v>1</v>
      </c>
      <c r="F84" s="19">
        <f>E84*F$2</f>
        <v/>
      </c>
      <c r="G84" s="19">
        <f>SUM(E84:F84)*G$2</f>
        <v/>
      </c>
      <c r="H84" s="19">
        <f>G84*H$2</f>
        <v/>
      </c>
      <c r="I84" s="19">
        <f>G84*I$2</f>
        <v/>
      </c>
      <c r="J84" s="19">
        <f>SUM(G84:I84)</f>
        <v/>
      </c>
      <c r="K84" s="19">
        <f>J84/8</f>
        <v/>
      </c>
      <c r="L84" t="inlineStr">
        <is>
          <t>ASWD-2</t>
        </is>
      </c>
      <c r="M84" t="inlineStr">
        <is>
          <t>F6</t>
        </is>
      </c>
      <c r="N84" t="inlineStr">
        <is>
          <t>M2</t>
        </is>
      </c>
    </row>
    <row r="85" ht="26" customHeight="1">
      <c r="A85" s="21" t="n"/>
      <c r="B85" s="20" t="n"/>
      <c r="C85" s="20" t="n"/>
      <c r="D85" s="8" t="inlineStr">
        <is>
          <t>Apply the setting everywhere it is read</t>
        </is>
      </c>
      <c r="E85" s="18" t="n">
        <v>1</v>
      </c>
      <c r="F85" s="19">
        <f>E85*F$2</f>
        <v/>
      </c>
      <c r="G85" s="19">
        <f>SUM(E85:F85)*G$2</f>
        <v/>
      </c>
      <c r="H85" s="19">
        <f>G85*H$2</f>
        <v/>
      </c>
      <c r="I85" s="19">
        <f>G85*I$2</f>
        <v/>
      </c>
      <c r="J85" s="19">
        <f>SUM(G85:I85)</f>
        <v/>
      </c>
      <c r="K85" s="19">
        <f>J85/8</f>
        <v/>
      </c>
      <c r="L85" t="inlineStr">
        <is>
          <t>ASWD-2</t>
        </is>
      </c>
      <c r="M85" t="inlineStr">
        <is>
          <t>F6</t>
        </is>
      </c>
      <c r="N85" t="inlineStr">
        <is>
          <t>M2</t>
        </is>
      </c>
    </row>
    <row r="86" ht="26" customHeight="1">
      <c r="A86" s="21" t="n"/>
      <c r="B86" s="17" t="inlineStr">
        <is>
          <t>F7 - Set a patient's risk factors and comments</t>
        </is>
      </c>
      <c r="C86" s="17" t="inlineStr">
        <is>
          <t>PM-36 - Set risk factors on a patient</t>
        </is>
      </c>
      <c r="D86" s="8" t="inlineStr">
        <is>
          <t>Core model and service</t>
        </is>
      </c>
      <c r="E86" s="18" t="n">
        <v>6</v>
      </c>
      <c r="F86" s="19">
        <f>E86*F$2</f>
        <v/>
      </c>
      <c r="G86" s="19">
        <f>SUM(E86:F86)*G$2</f>
        <v/>
      </c>
      <c r="H86" s="19">
        <f>G86*H$2</f>
        <v/>
      </c>
      <c r="I86" s="19">
        <f>G86*I$2</f>
        <v/>
      </c>
      <c r="J86" s="19">
        <f>SUM(G86:I86)</f>
        <v/>
      </c>
      <c r="K86" s="19">
        <f>J86/8</f>
        <v/>
      </c>
      <c r="L86" t="inlineStr">
        <is>
          <t>ASWD-2</t>
        </is>
      </c>
      <c r="M86" t="inlineStr">
        <is>
          <t>F7</t>
        </is>
      </c>
      <c r="N86" t="inlineStr">
        <is>
          <t>M2</t>
        </is>
      </c>
    </row>
    <row r="87" ht="26" customHeight="1">
      <c r="A87" s="21" t="n"/>
      <c r="B87" s="21" t="n"/>
      <c r="C87" s="21" t="n"/>
      <c r="D87" s="8" t="inlineStr">
        <is>
          <t>ViewModel, DTO and converters</t>
        </is>
      </c>
      <c r="E87" s="18" t="n">
        <v>5</v>
      </c>
      <c r="F87" s="19">
        <f>E87*F$2</f>
        <v/>
      </c>
      <c r="G87" s="19">
        <f>SUM(E87:F87)*G$2</f>
        <v/>
      </c>
      <c r="H87" s="19">
        <f>G87*H$2</f>
        <v/>
      </c>
      <c r="I87" s="19">
        <f>G87*I$2</f>
        <v/>
      </c>
      <c r="J87" s="19">
        <f>SUM(G87:I87)</f>
        <v/>
      </c>
      <c r="K87" s="19">
        <f>J87/8</f>
        <v/>
      </c>
      <c r="L87" t="inlineStr">
        <is>
          <t>ASWD-2</t>
        </is>
      </c>
      <c r="M87" t="inlineStr">
        <is>
          <t>F7</t>
        </is>
      </c>
      <c r="N87" t="inlineStr">
        <is>
          <t>M2</t>
        </is>
      </c>
    </row>
    <row r="88" ht="26" customHeight="1">
      <c r="A88" s="21" t="n"/>
      <c r="B88" s="21" t="n"/>
      <c r="C88" s="20" t="n"/>
      <c r="D88" s="8" t="inlineStr">
        <is>
          <t>Screen (XAML) and command wiring</t>
        </is>
      </c>
      <c r="E88" s="18" t="n">
        <v>7</v>
      </c>
      <c r="F88" s="19">
        <f>E88*F$2</f>
        <v/>
      </c>
      <c r="G88" s="19">
        <f>SUM(E88:F88)*G$2</f>
        <v/>
      </c>
      <c r="H88" s="19">
        <f>G88*H$2</f>
        <v/>
      </c>
      <c r="I88" s="19">
        <f>G88*I$2</f>
        <v/>
      </c>
      <c r="J88" s="19">
        <f>SUM(G88:I88)</f>
        <v/>
      </c>
      <c r="K88" s="19">
        <f>J88/8</f>
        <v/>
      </c>
      <c r="L88" t="inlineStr">
        <is>
          <t>ASWD-2</t>
        </is>
      </c>
      <c r="M88" t="inlineStr">
        <is>
          <t>F7</t>
        </is>
      </c>
      <c r="N88" t="inlineStr">
        <is>
          <t>M2</t>
        </is>
      </c>
    </row>
    <row r="89" ht="26" customHeight="1">
      <c r="A89" s="21" t="n"/>
      <c r="B89" s="21" t="n"/>
      <c r="C89" s="17" t="inlineStr">
        <is>
          <t>PM-37 - Put comments on a patient</t>
        </is>
      </c>
      <c r="D89" s="8" t="inlineStr">
        <is>
          <t>Core model and service</t>
        </is>
      </c>
      <c r="E89" s="18" t="n">
        <v>4</v>
      </c>
      <c r="F89" s="19">
        <f>E89*F$2</f>
        <v/>
      </c>
      <c r="G89" s="19">
        <f>SUM(E89:F89)*G$2</f>
        <v/>
      </c>
      <c r="H89" s="19">
        <f>G89*H$2</f>
        <v/>
      </c>
      <c r="I89" s="19">
        <f>G89*I$2</f>
        <v/>
      </c>
      <c r="J89" s="19">
        <f>SUM(G89:I89)</f>
        <v/>
      </c>
      <c r="K89" s="19">
        <f>J89/8</f>
        <v/>
      </c>
      <c r="L89" t="inlineStr">
        <is>
          <t>ASWD-2</t>
        </is>
      </c>
      <c r="M89" t="inlineStr">
        <is>
          <t>F7</t>
        </is>
      </c>
      <c r="N89" t="inlineStr">
        <is>
          <t>M2</t>
        </is>
      </c>
    </row>
    <row r="90" ht="26" customHeight="1">
      <c r="A90" s="21" t="n"/>
      <c r="B90" s="21" t="n"/>
      <c r="C90" s="21" t="n"/>
      <c r="D90" s="8" t="inlineStr">
        <is>
          <t>ViewModel, DTO and converters</t>
        </is>
      </c>
      <c r="E90" s="18" t="n">
        <v>2</v>
      </c>
      <c r="F90" s="19">
        <f>E90*F$2</f>
        <v/>
      </c>
      <c r="G90" s="19">
        <f>SUM(E90:F90)*G$2</f>
        <v/>
      </c>
      <c r="H90" s="19">
        <f>G90*H$2</f>
        <v/>
      </c>
      <c r="I90" s="19">
        <f>G90*I$2</f>
        <v/>
      </c>
      <c r="J90" s="19">
        <f>SUM(G90:I90)</f>
        <v/>
      </c>
      <c r="K90" s="19">
        <f>J90/8</f>
        <v/>
      </c>
      <c r="L90" t="inlineStr">
        <is>
          <t>ASWD-2</t>
        </is>
      </c>
      <c r="M90" t="inlineStr">
        <is>
          <t>F7</t>
        </is>
      </c>
      <c r="N90" t="inlineStr">
        <is>
          <t>M2</t>
        </is>
      </c>
    </row>
    <row r="91" ht="26" customHeight="1">
      <c r="A91" s="21" t="n"/>
      <c r="B91" s="20" t="n"/>
      <c r="C91" s="20" t="n"/>
      <c r="D91" s="8" t="inlineStr">
        <is>
          <t>Screen (XAML) and command wiring</t>
        </is>
      </c>
      <c r="E91" s="18" t="n">
        <v>2</v>
      </c>
      <c r="F91" s="19">
        <f>E91*F$2</f>
        <v/>
      </c>
      <c r="G91" s="19">
        <f>SUM(E91:F91)*G$2</f>
        <v/>
      </c>
      <c r="H91" s="19">
        <f>G91*H$2</f>
        <v/>
      </c>
      <c r="I91" s="19">
        <f>G91*I$2</f>
        <v/>
      </c>
      <c r="J91" s="19">
        <f>SUM(G91:I91)</f>
        <v/>
      </c>
      <c r="K91" s="19">
        <f>J91/8</f>
        <v/>
      </c>
      <c r="L91" t="inlineStr">
        <is>
          <t>ASWD-2</t>
        </is>
      </c>
      <c r="M91" t="inlineStr">
        <is>
          <t>F7</t>
        </is>
      </c>
      <c r="N91" t="inlineStr">
        <is>
          <t>M2</t>
        </is>
      </c>
    </row>
    <row r="92" ht="26" customHeight="1">
      <c r="A92" s="21" t="n"/>
      <c r="B92" s="17" t="inlineStr">
        <is>
          <t>F8 - Manage and translate the risk factor list</t>
        </is>
      </c>
      <c r="C92" s="17" t="inlineStr">
        <is>
          <t>PM-28 - Create the risk factor table</t>
        </is>
      </c>
      <c r="D92" s="8" t="inlineStr">
        <is>
          <t>Risk factor entity and EF Core configuration</t>
        </is>
      </c>
      <c r="E92" s="18" t="n">
        <v>4</v>
      </c>
      <c r="F92" s="19">
        <f>E92*F$2</f>
        <v/>
      </c>
      <c r="G92" s="19">
        <f>SUM(E92:F92)*G$2</f>
        <v/>
      </c>
      <c r="H92" s="19">
        <f>G92*H$2</f>
        <v/>
      </c>
      <c r="I92" s="19">
        <f>G92*I$2</f>
        <v/>
      </c>
      <c r="J92" s="19">
        <f>SUM(G92:I92)</f>
        <v/>
      </c>
      <c r="K92" s="19">
        <f>J92/8</f>
        <v/>
      </c>
      <c r="L92" t="inlineStr">
        <is>
          <t>ASWD-2</t>
        </is>
      </c>
      <c r="M92" t="inlineStr">
        <is>
          <t>F8</t>
        </is>
      </c>
      <c r="N92" t="inlineStr">
        <is>
          <t>M2</t>
        </is>
      </c>
    </row>
    <row r="93" ht="26" customHeight="1">
      <c r="A93" s="21" t="n"/>
      <c r="B93" s="21" t="n"/>
      <c r="C93" s="21" t="n"/>
      <c r="D93" s="8" t="inlineStr">
        <is>
          <t>Migration and DbContext wiring</t>
        </is>
      </c>
      <c r="E93" s="18" t="n">
        <v>2</v>
      </c>
      <c r="F93" s="19">
        <f>E93*F$2</f>
        <v/>
      </c>
      <c r="G93" s="19">
        <f>SUM(E93:F93)*G$2</f>
        <v/>
      </c>
      <c r="H93" s="19">
        <f>G93*H$2</f>
        <v/>
      </c>
      <c r="I93" s="19">
        <f>G93*I$2</f>
        <v/>
      </c>
      <c r="J93" s="19">
        <f>SUM(G93:I93)</f>
        <v/>
      </c>
      <c r="K93" s="19">
        <f>J93/8</f>
        <v/>
      </c>
      <c r="L93" t="inlineStr">
        <is>
          <t>ASWD-2</t>
        </is>
      </c>
      <c r="M93" t="inlineStr">
        <is>
          <t>F8</t>
        </is>
      </c>
      <c r="N93" t="inlineStr">
        <is>
          <t>M2</t>
        </is>
      </c>
    </row>
    <row r="94" ht="26" customHeight="1">
      <c r="A94" s="21" t="n"/>
      <c r="B94" s="21" t="n"/>
      <c r="C94" s="20" t="n"/>
      <c r="D94" s="8" t="inlineStr">
        <is>
          <t>Repository and service methods</t>
        </is>
      </c>
      <c r="E94" s="18" t="n">
        <v>7</v>
      </c>
      <c r="F94" s="19">
        <f>E94*F$2</f>
        <v/>
      </c>
      <c r="G94" s="19">
        <f>SUM(E94:F94)*G$2</f>
        <v/>
      </c>
      <c r="H94" s="19">
        <f>G94*H$2</f>
        <v/>
      </c>
      <c r="I94" s="19">
        <f>G94*I$2</f>
        <v/>
      </c>
      <c r="J94" s="19">
        <f>SUM(G94:I94)</f>
        <v/>
      </c>
      <c r="K94" s="19">
        <f>J94/8</f>
        <v/>
      </c>
      <c r="L94" t="inlineStr">
        <is>
          <t>ASWD-2</t>
        </is>
      </c>
      <c r="M94" t="inlineStr">
        <is>
          <t>F8</t>
        </is>
      </c>
      <c r="N94" t="inlineStr">
        <is>
          <t>M2</t>
        </is>
      </c>
    </row>
    <row r="95" ht="26" customHeight="1">
      <c r="A95" s="21" t="n"/>
      <c r="B95" s="21" t="n"/>
      <c r="C95" s="17" t="inlineStr">
        <is>
          <t>PM-29 - Manage the risk factor list</t>
        </is>
      </c>
      <c r="D95" s="8" t="inlineStr">
        <is>
          <t>Core model and service</t>
        </is>
      </c>
      <c r="E95" s="18" t="n">
        <v>7</v>
      </c>
      <c r="F95" s="19">
        <f>E95*F$2</f>
        <v/>
      </c>
      <c r="G95" s="19">
        <f>SUM(E95:F95)*G$2</f>
        <v/>
      </c>
      <c r="H95" s="19">
        <f>G95*H$2</f>
        <v/>
      </c>
      <c r="I95" s="19">
        <f>G95*I$2</f>
        <v/>
      </c>
      <c r="J95" s="19">
        <f>SUM(G95:I95)</f>
        <v/>
      </c>
      <c r="K95" s="19">
        <f>J95/8</f>
        <v/>
      </c>
      <c r="L95" t="inlineStr">
        <is>
          <t>ASWD-2</t>
        </is>
      </c>
      <c r="M95" t="inlineStr">
        <is>
          <t>F8</t>
        </is>
      </c>
      <c r="N95" t="inlineStr">
        <is>
          <t>M2</t>
        </is>
      </c>
    </row>
    <row r="96" ht="26" customHeight="1">
      <c r="A96" s="21" t="n"/>
      <c r="B96" s="21" t="n"/>
      <c r="C96" s="21" t="n"/>
      <c r="D96" s="8" t="inlineStr">
        <is>
          <t>ViewModel, DTO and converters</t>
        </is>
      </c>
      <c r="E96" s="18" t="n">
        <v>8</v>
      </c>
      <c r="F96" s="19">
        <f>E96*F$2</f>
        <v/>
      </c>
      <c r="G96" s="19">
        <f>SUM(E96:F96)*G$2</f>
        <v/>
      </c>
      <c r="H96" s="19">
        <f>G96*H$2</f>
        <v/>
      </c>
      <c r="I96" s="19">
        <f>G96*I$2</f>
        <v/>
      </c>
      <c r="J96" s="19">
        <f>SUM(G96:I96)</f>
        <v/>
      </c>
      <c r="K96" s="19">
        <f>J96/8</f>
        <v/>
      </c>
      <c r="L96" t="inlineStr">
        <is>
          <t>ASWD-2</t>
        </is>
      </c>
      <c r="M96" t="inlineStr">
        <is>
          <t>F8</t>
        </is>
      </c>
      <c r="N96" t="inlineStr">
        <is>
          <t>M2</t>
        </is>
      </c>
    </row>
    <row r="97" ht="26" customHeight="1">
      <c r="A97" s="21" t="n"/>
      <c r="B97" s="21" t="n"/>
      <c r="C97" s="20" t="n"/>
      <c r="D97" s="8" t="inlineStr">
        <is>
          <t>Screen (XAML) and command wiring</t>
        </is>
      </c>
      <c r="E97" s="18" t="n">
        <v>6</v>
      </c>
      <c r="F97" s="19">
        <f>E97*F$2</f>
        <v/>
      </c>
      <c r="G97" s="19">
        <f>SUM(E97:F97)*G$2</f>
        <v/>
      </c>
      <c r="H97" s="19">
        <f>G97*H$2</f>
        <v/>
      </c>
      <c r="I97" s="19">
        <f>G97*I$2</f>
        <v/>
      </c>
      <c r="J97" s="19">
        <f>SUM(G97:I97)</f>
        <v/>
      </c>
      <c r="K97" s="19">
        <f>J97/8</f>
        <v/>
      </c>
      <c r="L97" t="inlineStr">
        <is>
          <t>ASWD-2</t>
        </is>
      </c>
      <c r="M97" t="inlineStr">
        <is>
          <t>F8</t>
        </is>
      </c>
      <c r="N97" t="inlineStr">
        <is>
          <t>M2</t>
        </is>
      </c>
    </row>
    <row r="98" ht="26" customHeight="1">
      <c r="A98" s="21" t="n"/>
      <c r="B98" s="21" t="n"/>
      <c r="C98" s="17" t="inlineStr">
        <is>
          <t>PM-30 - Create the risk factor translation table</t>
        </is>
      </c>
      <c r="D98" s="8" t="inlineStr">
        <is>
          <t>Risk factor entity and EF Core configuration</t>
        </is>
      </c>
      <c r="E98" s="18" t="n">
        <v>2</v>
      </c>
      <c r="F98" s="19">
        <f>E98*F$2</f>
        <v/>
      </c>
      <c r="G98" s="19">
        <f>SUM(E98:F98)*G$2</f>
        <v/>
      </c>
      <c r="H98" s="19">
        <f>G98*H$2</f>
        <v/>
      </c>
      <c r="I98" s="19">
        <f>G98*I$2</f>
        <v/>
      </c>
      <c r="J98" s="19">
        <f>SUM(G98:I98)</f>
        <v/>
      </c>
      <c r="K98" s="19">
        <f>J98/8</f>
        <v/>
      </c>
      <c r="L98" t="inlineStr">
        <is>
          <t>ASWD-2</t>
        </is>
      </c>
      <c r="M98" t="inlineStr">
        <is>
          <t>F8</t>
        </is>
      </c>
      <c r="N98" t="inlineStr">
        <is>
          <t>M2</t>
        </is>
      </c>
    </row>
    <row r="99" ht="26" customHeight="1">
      <c r="A99" s="21" t="n"/>
      <c r="B99" s="21" t="n"/>
      <c r="C99" s="21" t="n"/>
      <c r="D99" s="8" t="inlineStr">
        <is>
          <t>Migration and DbContext wiring</t>
        </is>
      </c>
      <c r="E99" s="18" t="n">
        <v>1</v>
      </c>
      <c r="F99" s="19">
        <f>E99*F$2</f>
        <v/>
      </c>
      <c r="G99" s="19">
        <f>SUM(E99:F99)*G$2</f>
        <v/>
      </c>
      <c r="H99" s="19">
        <f>G99*H$2</f>
        <v/>
      </c>
      <c r="I99" s="19">
        <f>G99*I$2</f>
        <v/>
      </c>
      <c r="J99" s="19">
        <f>SUM(G99:I99)</f>
        <v/>
      </c>
      <c r="K99" s="19">
        <f>J99/8</f>
        <v/>
      </c>
      <c r="L99" t="inlineStr">
        <is>
          <t>ASWD-2</t>
        </is>
      </c>
      <c r="M99" t="inlineStr">
        <is>
          <t>F8</t>
        </is>
      </c>
      <c r="N99" t="inlineStr">
        <is>
          <t>M2</t>
        </is>
      </c>
    </row>
    <row r="100" ht="26" customHeight="1">
      <c r="A100" s="21" t="n"/>
      <c r="B100" s="21" t="n"/>
      <c r="C100" s="20" t="n"/>
      <c r="D100" s="8" t="inlineStr">
        <is>
          <t>Repository and service methods</t>
        </is>
      </c>
      <c r="E100" s="18" t="n">
        <v>2</v>
      </c>
      <c r="F100" s="19">
        <f>E100*F$2</f>
        <v/>
      </c>
      <c r="G100" s="19">
        <f>SUM(E100:F100)*G$2</f>
        <v/>
      </c>
      <c r="H100" s="19">
        <f>G100*H$2</f>
        <v/>
      </c>
      <c r="I100" s="19">
        <f>G100*I$2</f>
        <v/>
      </c>
      <c r="J100" s="19">
        <f>SUM(G100:I100)</f>
        <v/>
      </c>
      <c r="K100" s="19">
        <f>J100/8</f>
        <v/>
      </c>
      <c r="L100" t="inlineStr">
        <is>
          <t>ASWD-2</t>
        </is>
      </c>
      <c r="M100" t="inlineStr">
        <is>
          <t>F8</t>
        </is>
      </c>
      <c r="N100" t="inlineStr">
        <is>
          <t>M2</t>
        </is>
      </c>
    </row>
    <row r="101" ht="26" customHeight="1">
      <c r="A101" s="21" t="n"/>
      <c r="B101" s="21" t="n"/>
      <c r="C101" s="17" t="inlineStr">
        <is>
          <t>PM-31 - Enter risk factor translations</t>
        </is>
      </c>
      <c r="D101" s="8" t="inlineStr">
        <is>
          <t>Resource files and the per-language entries</t>
        </is>
      </c>
      <c r="E101" s="18" t="n">
        <v>8</v>
      </c>
      <c r="F101" s="19">
        <f>E101*F$2</f>
        <v/>
      </c>
      <c r="G101" s="19">
        <f>SUM(E101:F101)*G$2</f>
        <v/>
      </c>
      <c r="H101" s="19">
        <f>G101*H$2</f>
        <v/>
      </c>
      <c r="I101" s="19">
        <f>G101*I$2</f>
        <v/>
      </c>
      <c r="J101" s="19">
        <f>SUM(G101:I101)</f>
        <v/>
      </c>
      <c r="K101" s="19">
        <f>J101/8</f>
        <v/>
      </c>
      <c r="L101" t="inlineStr">
        <is>
          <t>ASWD-2</t>
        </is>
      </c>
      <c r="M101" t="inlineStr">
        <is>
          <t>F8</t>
        </is>
      </c>
      <c r="N101" t="inlineStr">
        <is>
          <t>M2</t>
        </is>
      </c>
    </row>
    <row r="102" ht="26" customHeight="1">
      <c r="A102" s="21" t="n"/>
      <c r="B102" s="20" t="n"/>
      <c r="C102" s="20" t="n"/>
      <c r="D102" s="8" t="inlineStr">
        <is>
          <t>Picker, default language and reload behaviour</t>
        </is>
      </c>
      <c r="E102" s="18" t="n">
        <v>8</v>
      </c>
      <c r="F102" s="19">
        <f>E102*F$2</f>
        <v/>
      </c>
      <c r="G102" s="19">
        <f>SUM(E102:F102)*G$2</f>
        <v/>
      </c>
      <c r="H102" s="19">
        <f>G102*H$2</f>
        <v/>
      </c>
      <c r="I102" s="19">
        <f>G102*I$2</f>
        <v/>
      </c>
      <c r="J102" s="19">
        <f>SUM(G102:I102)</f>
        <v/>
      </c>
      <c r="K102" s="19">
        <f>J102/8</f>
        <v/>
      </c>
      <c r="L102" t="inlineStr">
        <is>
          <t>ASWD-2</t>
        </is>
      </c>
      <c r="M102" t="inlineStr">
        <is>
          <t>F8</t>
        </is>
      </c>
      <c r="N102" t="inlineStr">
        <is>
          <t>M2</t>
        </is>
      </c>
    </row>
    <row r="103" ht="26" customHeight="1">
      <c r="A103" s="21" t="n"/>
      <c r="B103" s="17" t="inlineStr">
        <is>
          <t>F9 - Manage and translate the comment list</t>
        </is>
      </c>
      <c r="C103" s="17" t="inlineStr">
        <is>
          <t>PM-32 - Create the comments table</t>
        </is>
      </c>
      <c r="D103" s="8" t="inlineStr">
        <is>
          <t>Comment entity and EF Core configuration</t>
        </is>
      </c>
      <c r="E103" s="18" t="n">
        <v>4</v>
      </c>
      <c r="F103" s="19">
        <f>E103*F$2</f>
        <v/>
      </c>
      <c r="G103" s="19">
        <f>SUM(E103:F103)*G$2</f>
        <v/>
      </c>
      <c r="H103" s="19">
        <f>G103*H$2</f>
        <v/>
      </c>
      <c r="I103" s="19">
        <f>G103*I$2</f>
        <v/>
      </c>
      <c r="J103" s="19">
        <f>SUM(G103:I103)</f>
        <v/>
      </c>
      <c r="K103" s="19">
        <f>J103/8</f>
        <v/>
      </c>
      <c r="L103" t="inlineStr">
        <is>
          <t>ASWD-2</t>
        </is>
      </c>
      <c r="M103" t="inlineStr">
        <is>
          <t>F9</t>
        </is>
      </c>
      <c r="N103" t="inlineStr">
        <is>
          <t>M2</t>
        </is>
      </c>
    </row>
    <row r="104" ht="26" customHeight="1">
      <c r="A104" s="21" t="n"/>
      <c r="B104" s="21" t="n"/>
      <c r="C104" s="21" t="n"/>
      <c r="D104" s="8" t="inlineStr">
        <is>
          <t>Migration and DbContext wiring</t>
        </is>
      </c>
      <c r="E104" s="18" t="n">
        <v>2</v>
      </c>
      <c r="F104" s="19">
        <f>E104*F$2</f>
        <v/>
      </c>
      <c r="G104" s="19">
        <f>SUM(E104:F104)*G$2</f>
        <v/>
      </c>
      <c r="H104" s="19">
        <f>G104*H$2</f>
        <v/>
      </c>
      <c r="I104" s="19">
        <f>G104*I$2</f>
        <v/>
      </c>
      <c r="J104" s="19">
        <f>SUM(G104:I104)</f>
        <v/>
      </c>
      <c r="K104" s="19">
        <f>J104/8</f>
        <v/>
      </c>
      <c r="L104" t="inlineStr">
        <is>
          <t>ASWD-2</t>
        </is>
      </c>
      <c r="M104" t="inlineStr">
        <is>
          <t>F9</t>
        </is>
      </c>
      <c r="N104" t="inlineStr">
        <is>
          <t>M2</t>
        </is>
      </c>
    </row>
    <row r="105" ht="26" customHeight="1">
      <c r="A105" s="21" t="n"/>
      <c r="B105" s="21" t="n"/>
      <c r="C105" s="20" t="n"/>
      <c r="D105" s="8" t="inlineStr">
        <is>
          <t>Repository and service methods</t>
        </is>
      </c>
      <c r="E105" s="18" t="n">
        <v>7</v>
      </c>
      <c r="F105" s="19">
        <f>E105*F$2</f>
        <v/>
      </c>
      <c r="G105" s="19">
        <f>SUM(E105:F105)*G$2</f>
        <v/>
      </c>
      <c r="H105" s="19">
        <f>G105*H$2</f>
        <v/>
      </c>
      <c r="I105" s="19">
        <f>G105*I$2</f>
        <v/>
      </c>
      <c r="J105" s="19">
        <f>SUM(G105:I105)</f>
        <v/>
      </c>
      <c r="K105" s="19">
        <f>J105/8</f>
        <v/>
      </c>
      <c r="L105" t="inlineStr">
        <is>
          <t>ASWD-2</t>
        </is>
      </c>
      <c r="M105" t="inlineStr">
        <is>
          <t>F9</t>
        </is>
      </c>
      <c r="N105" t="inlineStr">
        <is>
          <t>M2</t>
        </is>
      </c>
    </row>
    <row r="106" ht="26" customHeight="1">
      <c r="A106" s="21" t="n"/>
      <c r="B106" s="21" t="n"/>
      <c r="C106" s="17" t="inlineStr">
        <is>
          <t>PM-33 - Manage the comment list</t>
        </is>
      </c>
      <c r="D106" s="8" t="inlineStr">
        <is>
          <t>Core model and service</t>
        </is>
      </c>
      <c r="E106" s="18" t="n">
        <v>8</v>
      </c>
      <c r="F106" s="19">
        <f>E106*F$2</f>
        <v/>
      </c>
      <c r="G106" s="19">
        <f>SUM(E106:F106)*G$2</f>
        <v/>
      </c>
      <c r="H106" s="19">
        <f>G106*H$2</f>
        <v/>
      </c>
      <c r="I106" s="19">
        <f>G106*I$2</f>
        <v/>
      </c>
      <c r="J106" s="19">
        <f>SUM(G106:I106)</f>
        <v/>
      </c>
      <c r="K106" s="19">
        <f>J106/8</f>
        <v/>
      </c>
      <c r="L106" t="inlineStr">
        <is>
          <t>ASWD-2</t>
        </is>
      </c>
      <c r="M106" t="inlineStr">
        <is>
          <t>F9</t>
        </is>
      </c>
      <c r="N106" t="inlineStr">
        <is>
          <t>M2</t>
        </is>
      </c>
    </row>
    <row r="107" ht="26" customHeight="1">
      <c r="A107" s="21" t="n"/>
      <c r="B107" s="21" t="n"/>
      <c r="C107" s="21" t="n"/>
      <c r="D107" s="8" t="inlineStr">
        <is>
          <t>ViewModel, DTO and converters</t>
        </is>
      </c>
      <c r="E107" s="18" t="n">
        <v>8</v>
      </c>
      <c r="F107" s="19">
        <f>E107*F$2</f>
        <v/>
      </c>
      <c r="G107" s="19">
        <f>SUM(E107:F107)*G$2</f>
        <v/>
      </c>
      <c r="H107" s="19">
        <f>G107*H$2</f>
        <v/>
      </c>
      <c r="I107" s="19">
        <f>G107*I$2</f>
        <v/>
      </c>
      <c r="J107" s="19">
        <f>SUM(G107:I107)</f>
        <v/>
      </c>
      <c r="K107" s="19">
        <f>J107/8</f>
        <v/>
      </c>
      <c r="L107" t="inlineStr">
        <is>
          <t>ASWD-2</t>
        </is>
      </c>
      <c r="M107" t="inlineStr">
        <is>
          <t>F9</t>
        </is>
      </c>
      <c r="N107" t="inlineStr">
        <is>
          <t>M2</t>
        </is>
      </c>
    </row>
    <row r="108" ht="26" customHeight="1">
      <c r="A108" s="21" t="n"/>
      <c r="B108" s="21" t="n"/>
      <c r="C108" s="20" t="n"/>
      <c r="D108" s="8" t="inlineStr">
        <is>
          <t>Screen (XAML) and command wiring</t>
        </is>
      </c>
      <c r="E108" s="18" t="n">
        <v>8</v>
      </c>
      <c r="F108" s="19">
        <f>E108*F$2</f>
        <v/>
      </c>
      <c r="G108" s="19">
        <f>SUM(E108:F108)*G$2</f>
        <v/>
      </c>
      <c r="H108" s="19">
        <f>G108*H$2</f>
        <v/>
      </c>
      <c r="I108" s="19">
        <f>G108*I$2</f>
        <v/>
      </c>
      <c r="J108" s="19">
        <f>SUM(G108:I108)</f>
        <v/>
      </c>
      <c r="K108" s="19">
        <f>J108/8</f>
        <v/>
      </c>
      <c r="L108" t="inlineStr">
        <is>
          <t>ASWD-2</t>
        </is>
      </c>
      <c r="M108" t="inlineStr">
        <is>
          <t>F9</t>
        </is>
      </c>
      <c r="N108" t="inlineStr">
        <is>
          <t>M2</t>
        </is>
      </c>
    </row>
    <row r="109" ht="26" customHeight="1">
      <c r="A109" s="21" t="n"/>
      <c r="B109" s="21" t="n"/>
      <c r="C109" s="17" t="inlineStr">
        <is>
          <t>PM-34 - Create the comment translation table</t>
        </is>
      </c>
      <c r="D109" s="8" t="inlineStr">
        <is>
          <t>Comment entity and EF Core configuration</t>
        </is>
      </c>
      <c r="E109" s="18" t="n">
        <v>2</v>
      </c>
      <c r="F109" s="19">
        <f>E109*F$2</f>
        <v/>
      </c>
      <c r="G109" s="19">
        <f>SUM(E109:F109)*G$2</f>
        <v/>
      </c>
      <c r="H109" s="19">
        <f>G109*H$2</f>
        <v/>
      </c>
      <c r="I109" s="19">
        <f>G109*I$2</f>
        <v/>
      </c>
      <c r="J109" s="19">
        <f>SUM(G109:I109)</f>
        <v/>
      </c>
      <c r="K109" s="19">
        <f>J109/8</f>
        <v/>
      </c>
      <c r="L109" t="inlineStr">
        <is>
          <t>ASWD-2</t>
        </is>
      </c>
      <c r="M109" t="inlineStr">
        <is>
          <t>F9</t>
        </is>
      </c>
      <c r="N109" t="inlineStr">
        <is>
          <t>M2</t>
        </is>
      </c>
    </row>
    <row r="110" ht="26" customHeight="1">
      <c r="A110" s="21" t="n"/>
      <c r="B110" s="21" t="n"/>
      <c r="C110" s="21" t="n"/>
      <c r="D110" s="8" t="inlineStr">
        <is>
          <t>Migration and DbContext wiring</t>
        </is>
      </c>
      <c r="E110" s="18" t="n">
        <v>1</v>
      </c>
      <c r="F110" s="19">
        <f>E110*F$2</f>
        <v/>
      </c>
      <c r="G110" s="19">
        <f>SUM(E110:F110)*G$2</f>
        <v/>
      </c>
      <c r="H110" s="19">
        <f>G110*H$2</f>
        <v/>
      </c>
      <c r="I110" s="19">
        <f>G110*I$2</f>
        <v/>
      </c>
      <c r="J110" s="19">
        <f>SUM(G110:I110)</f>
        <v/>
      </c>
      <c r="K110" s="19">
        <f>J110/8</f>
        <v/>
      </c>
      <c r="L110" t="inlineStr">
        <is>
          <t>ASWD-2</t>
        </is>
      </c>
      <c r="M110" t="inlineStr">
        <is>
          <t>F9</t>
        </is>
      </c>
      <c r="N110" t="inlineStr">
        <is>
          <t>M2</t>
        </is>
      </c>
    </row>
    <row r="111" ht="26" customHeight="1">
      <c r="A111" s="21" t="n"/>
      <c r="B111" s="21" t="n"/>
      <c r="C111" s="20" t="n"/>
      <c r="D111" s="8" t="inlineStr">
        <is>
          <t>Repository and service methods</t>
        </is>
      </c>
      <c r="E111" s="18" t="n">
        <v>2</v>
      </c>
      <c r="F111" s="19">
        <f>E111*F$2</f>
        <v/>
      </c>
      <c r="G111" s="19">
        <f>SUM(E111:F111)*G$2</f>
        <v/>
      </c>
      <c r="H111" s="19">
        <f>G111*H$2</f>
        <v/>
      </c>
      <c r="I111" s="19">
        <f>G111*I$2</f>
        <v/>
      </c>
      <c r="J111" s="19">
        <f>SUM(G111:I111)</f>
        <v/>
      </c>
      <c r="K111" s="19">
        <f>J111/8</f>
        <v/>
      </c>
      <c r="L111" t="inlineStr">
        <is>
          <t>ASWD-2</t>
        </is>
      </c>
      <c r="M111" t="inlineStr">
        <is>
          <t>F9</t>
        </is>
      </c>
      <c r="N111" t="inlineStr">
        <is>
          <t>M2</t>
        </is>
      </c>
    </row>
    <row r="112" ht="26" customHeight="1">
      <c r="A112" s="21" t="n"/>
      <c r="B112" s="21" t="n"/>
      <c r="C112" s="17" t="inlineStr">
        <is>
          <t>PM-35 - Enter comment translations</t>
        </is>
      </c>
      <c r="D112" s="8" t="inlineStr">
        <is>
          <t>Resource files and the per-language entries</t>
        </is>
      </c>
      <c r="E112" s="18" t="n">
        <v>8</v>
      </c>
      <c r="F112" s="19">
        <f>E112*F$2</f>
        <v/>
      </c>
      <c r="G112" s="19">
        <f>SUM(E112:F112)*G$2</f>
        <v/>
      </c>
      <c r="H112" s="19">
        <f>G112*H$2</f>
        <v/>
      </c>
      <c r="I112" s="19">
        <f>G112*I$2</f>
        <v/>
      </c>
      <c r="J112" s="19">
        <f>SUM(G112:I112)</f>
        <v/>
      </c>
      <c r="K112" s="19">
        <f>J112/8</f>
        <v/>
      </c>
      <c r="L112" t="inlineStr">
        <is>
          <t>ASWD-2</t>
        </is>
      </c>
      <c r="M112" t="inlineStr">
        <is>
          <t>F9</t>
        </is>
      </c>
      <c r="N112" t="inlineStr">
        <is>
          <t>M2</t>
        </is>
      </c>
    </row>
    <row r="113" ht="26" customHeight="1">
      <c r="A113" s="20" t="n"/>
      <c r="B113" s="20" t="n"/>
      <c r="C113" s="20" t="n"/>
      <c r="D113" s="8" t="inlineStr">
        <is>
          <t>Picker, default language and reload behaviour</t>
        </is>
      </c>
      <c r="E113" s="18" t="n">
        <v>6</v>
      </c>
      <c r="F113" s="19">
        <f>E113*F$2</f>
        <v/>
      </c>
      <c r="G113" s="19">
        <f>SUM(E113:F113)*G$2</f>
        <v/>
      </c>
      <c r="H113" s="19">
        <f>G113*H$2</f>
        <v/>
      </c>
      <c r="I113" s="19">
        <f>G113*I$2</f>
        <v/>
      </c>
      <c r="J113" s="19">
        <f>SUM(G113:I113)</f>
        <v/>
      </c>
      <c r="K113" s="19">
        <f>J113/8</f>
        <v/>
      </c>
      <c r="L113" t="inlineStr">
        <is>
          <t>ASWD-2</t>
        </is>
      </c>
      <c r="M113" t="inlineStr">
        <is>
          <t>F9</t>
        </is>
      </c>
      <c r="N113" t="inlineStr">
        <is>
          <t>M2</t>
        </is>
      </c>
    </row>
    <row r="114" ht="26" customHeight="1">
      <c r="A114" s="16" t="inlineStr">
        <is>
          <t>ASWD-5</t>
        </is>
      </c>
      <c r="B114" s="17" t="inlineStr">
        <is>
          <t>F1 - Investigate the waveform data format and how to draw it</t>
        </is>
      </c>
      <c r="C114" s="17" t="inlineStr">
        <is>
          <t>2-day timeboxed look at the waveform data format and how to draw it</t>
        </is>
      </c>
      <c r="D114" s="8" t="inlineStr">
        <is>
          <t>Timeboxed spike against the real data, file or device</t>
        </is>
      </c>
      <c r="E114" s="18" t="n">
        <v>8</v>
      </c>
      <c r="F114" s="19">
        <f>E114*F$2</f>
        <v/>
      </c>
      <c r="G114" s="19">
        <f>SUM(E114:F114)*G$2</f>
        <v/>
      </c>
      <c r="H114" s="19">
        <f>G114*H$2</f>
        <v/>
      </c>
      <c r="I114" s="19">
        <f>G114*I$2</f>
        <v/>
      </c>
      <c r="J114" s="19">
        <f>SUM(G114:I114)</f>
        <v/>
      </c>
      <c r="K114" s="19">
        <f>J114/8</f>
        <v/>
      </c>
      <c r="L114" t="inlineStr">
        <is>
          <t>ASWD-5</t>
        </is>
      </c>
      <c r="M114" t="inlineStr">
        <is>
          <t>F1</t>
        </is>
      </c>
      <c r="N114" t="inlineStr">
        <is>
          <t>M3</t>
        </is>
      </c>
    </row>
    <row r="115" ht="26" customHeight="1">
      <c r="A115" s="21" t="n"/>
      <c r="B115" s="20" t="n"/>
      <c r="C115" s="20" t="n"/>
      <c r="D115" s="8" t="inlineStr">
        <is>
          <t>Write up the findings and the decision</t>
        </is>
      </c>
      <c r="E115" s="18" t="n">
        <v>7</v>
      </c>
      <c r="F115" s="19">
        <f>E115*F$2</f>
        <v/>
      </c>
      <c r="G115" s="19">
        <f>SUM(E115:F115)*G$2</f>
        <v/>
      </c>
      <c r="H115" s="19">
        <f>G115*H$2</f>
        <v/>
      </c>
      <c r="I115" s="19">
        <f>G115*I$2</f>
        <v/>
      </c>
      <c r="J115" s="19">
        <f>SUM(G115:I115)</f>
        <v/>
      </c>
      <c r="K115" s="19">
        <f>J115/8</f>
        <v/>
      </c>
      <c r="L115" t="inlineStr">
        <is>
          <t>ASWD-5</t>
        </is>
      </c>
      <c r="M115" t="inlineStr">
        <is>
          <t>F1</t>
        </is>
      </c>
      <c r="N115" t="inlineStr">
        <is>
          <t>M3</t>
        </is>
      </c>
    </row>
    <row r="116" ht="26" customHeight="1">
      <c r="A116" s="21" t="n"/>
      <c r="B116" s="17" t="inlineStr">
        <is>
          <t>F2 - Create the OAE result tables and load real device data into them</t>
        </is>
      </c>
      <c r="C116" s="17" t="inlineStr">
        <is>
          <t>Create TEOAEResults and DPOAEResults tables and waveform storage</t>
        </is>
      </c>
      <c r="D116" s="8" t="inlineStr">
        <is>
          <t>TEOAEResults entity and EF Core configuration</t>
        </is>
      </c>
      <c r="E116" s="18" t="n">
        <v>4</v>
      </c>
      <c r="F116" s="19">
        <f>E116*F$2</f>
        <v/>
      </c>
      <c r="G116" s="19">
        <f>SUM(E116:F116)*G$2</f>
        <v/>
      </c>
      <c r="H116" s="19">
        <f>G116*H$2</f>
        <v/>
      </c>
      <c r="I116" s="19">
        <f>G116*I$2</f>
        <v/>
      </c>
      <c r="J116" s="19">
        <f>SUM(G116:I116)</f>
        <v/>
      </c>
      <c r="K116" s="19">
        <f>J116/8</f>
        <v/>
      </c>
      <c r="L116" t="inlineStr">
        <is>
          <t>ASWD-5</t>
        </is>
      </c>
      <c r="M116" t="inlineStr">
        <is>
          <t>F2</t>
        </is>
      </c>
      <c r="N116" t="inlineStr">
        <is>
          <t>M3</t>
        </is>
      </c>
    </row>
    <row r="117" ht="26" customHeight="1">
      <c r="A117" s="21" t="n"/>
      <c r="B117" s="21" t="n"/>
      <c r="C117" s="21" t="n"/>
      <c r="D117" s="8" t="inlineStr">
        <is>
          <t>Migration and DbContext wiring</t>
        </is>
      </c>
      <c r="E117" s="18" t="n">
        <v>2</v>
      </c>
      <c r="F117" s="19">
        <f>E117*F$2</f>
        <v/>
      </c>
      <c r="G117" s="19">
        <f>SUM(E117:F117)*G$2</f>
        <v/>
      </c>
      <c r="H117" s="19">
        <f>G117*H$2</f>
        <v/>
      </c>
      <c r="I117" s="19">
        <f>G117*I$2</f>
        <v/>
      </c>
      <c r="J117" s="19">
        <f>SUM(G117:I117)</f>
        <v/>
      </c>
      <c r="K117" s="19">
        <f>J117/8</f>
        <v/>
      </c>
      <c r="L117" t="inlineStr">
        <is>
          <t>ASWD-5</t>
        </is>
      </c>
      <c r="M117" t="inlineStr">
        <is>
          <t>F2</t>
        </is>
      </c>
      <c r="N117" t="inlineStr">
        <is>
          <t>M3</t>
        </is>
      </c>
    </row>
    <row r="118" ht="26" customHeight="1">
      <c r="A118" s="21" t="n"/>
      <c r="B118" s="21" t="n"/>
      <c r="C118" s="20" t="n"/>
      <c r="D118" s="8" t="inlineStr">
        <is>
          <t>Repository and service methods</t>
        </is>
      </c>
      <c r="E118" s="18" t="n">
        <v>7</v>
      </c>
      <c r="F118" s="19">
        <f>E118*F$2</f>
        <v/>
      </c>
      <c r="G118" s="19">
        <f>SUM(E118:F118)*G$2</f>
        <v/>
      </c>
      <c r="H118" s="19">
        <f>G118*H$2</f>
        <v/>
      </c>
      <c r="I118" s="19">
        <f>G118*I$2</f>
        <v/>
      </c>
      <c r="J118" s="19">
        <f>SUM(G118:I118)</f>
        <v/>
      </c>
      <c r="K118" s="19">
        <f>J118/8</f>
        <v/>
      </c>
      <c r="L118" t="inlineStr">
        <is>
          <t>ASWD-5</t>
        </is>
      </c>
      <c r="M118" t="inlineStr">
        <is>
          <t>F2</t>
        </is>
      </c>
      <c r="N118" t="inlineStr">
        <is>
          <t>M3</t>
        </is>
      </c>
    </row>
    <row r="119" ht="26" customHeight="1">
      <c r="A119" s="21" t="n"/>
      <c r="B119" s="21" t="n"/>
      <c r="C119" s="17" t="inlineStr">
        <is>
          <t>Small utility that pushes a real device file through the existing ALGO 5 / AccuLink / ALGO Pro parsers straight into the test tables, so the result views can be demonstrated on genuine screening data before Import is built</t>
        </is>
      </c>
      <c r="D119" s="8" t="inlineStr">
        <is>
          <t>ALGO 5 entity and EF Core configuration</t>
        </is>
      </c>
      <c r="E119" s="18" t="n">
        <v>4</v>
      </c>
      <c r="F119" s="19">
        <f>E119*F$2</f>
        <v/>
      </c>
      <c r="G119" s="19">
        <f>SUM(E119:F119)*G$2</f>
        <v/>
      </c>
      <c r="H119" s="19">
        <f>G119*H$2</f>
        <v/>
      </c>
      <c r="I119" s="19">
        <f>G119*I$2</f>
        <v/>
      </c>
      <c r="J119" s="19">
        <f>SUM(G119:I119)</f>
        <v/>
      </c>
      <c r="K119" s="19">
        <f>J119/8</f>
        <v/>
      </c>
      <c r="L119" t="inlineStr">
        <is>
          <t>ASWD-5</t>
        </is>
      </c>
      <c r="M119" t="inlineStr">
        <is>
          <t>F2</t>
        </is>
      </c>
      <c r="N119" t="inlineStr">
        <is>
          <t>M3</t>
        </is>
      </c>
    </row>
    <row r="120" ht="26" customHeight="1">
      <c r="A120" s="21" t="n"/>
      <c r="B120" s="21" t="n"/>
      <c r="C120" s="21" t="n"/>
      <c r="D120" s="8" t="inlineStr">
        <is>
          <t>Migration and DbContext wiring</t>
        </is>
      </c>
      <c r="E120" s="18" t="n">
        <v>1</v>
      </c>
      <c r="F120" s="19">
        <f>E120*F$2</f>
        <v/>
      </c>
      <c r="G120" s="19">
        <f>SUM(E120:F120)*G$2</f>
        <v/>
      </c>
      <c r="H120" s="19">
        <f>G120*H$2</f>
        <v/>
      </c>
      <c r="I120" s="19">
        <f>G120*I$2</f>
        <v/>
      </c>
      <c r="J120" s="19">
        <f>SUM(G120:I120)</f>
        <v/>
      </c>
      <c r="K120" s="19">
        <f>J120/8</f>
        <v/>
      </c>
      <c r="L120" t="inlineStr">
        <is>
          <t>ASWD-5</t>
        </is>
      </c>
      <c r="M120" t="inlineStr">
        <is>
          <t>F2</t>
        </is>
      </c>
      <c r="N120" t="inlineStr">
        <is>
          <t>M3</t>
        </is>
      </c>
    </row>
    <row r="121" ht="26" customHeight="1">
      <c r="A121" s="21" t="n"/>
      <c r="B121" s="20" t="n"/>
      <c r="C121" s="20" t="n"/>
      <c r="D121" s="8" t="inlineStr">
        <is>
          <t>Repository and service methods</t>
        </is>
      </c>
      <c r="E121" s="18" t="n">
        <v>4</v>
      </c>
      <c r="F121" s="19">
        <f>E121*F$2</f>
        <v/>
      </c>
      <c r="G121" s="19">
        <f>SUM(E121:F121)*G$2</f>
        <v/>
      </c>
      <c r="H121" s="19">
        <f>G121*H$2</f>
        <v/>
      </c>
      <c r="I121" s="19">
        <f>G121*I$2</f>
        <v/>
      </c>
      <c r="J121" s="19">
        <f>SUM(G121:I121)</f>
        <v/>
      </c>
      <c r="K121" s="19">
        <f>J121/8</f>
        <v/>
      </c>
      <c r="L121" t="inlineStr">
        <is>
          <t>ASWD-5</t>
        </is>
      </c>
      <c r="M121" t="inlineStr">
        <is>
          <t>F2</t>
        </is>
      </c>
      <c r="N121" t="inlineStr">
        <is>
          <t>M3</t>
        </is>
      </c>
    </row>
    <row r="122" ht="26" customHeight="1">
      <c r="A122" s="21" t="n"/>
      <c r="B122" s="17" t="inlineStr">
        <is>
          <t>F3 - Show TEOAE and DPOAE results with waveform, comments and device info</t>
        </is>
      </c>
      <c r="C122" s="17" t="inlineStr">
        <is>
          <t>Details, waveform, comments and device info for TEOAE (GID-254901)</t>
        </is>
      </c>
      <c r="D122" s="8" t="inlineStr">
        <is>
          <t>Core model and service</t>
        </is>
      </c>
      <c r="E122" s="18" t="n">
        <v>8</v>
      </c>
      <c r="F122" s="19">
        <f>E122*F$2</f>
        <v/>
      </c>
      <c r="G122" s="19">
        <f>SUM(E122:F122)*G$2</f>
        <v/>
      </c>
      <c r="H122" s="19">
        <f>G122*H$2</f>
        <v/>
      </c>
      <c r="I122" s="19">
        <f>G122*I$2</f>
        <v/>
      </c>
      <c r="J122" s="19">
        <f>SUM(G122:I122)</f>
        <v/>
      </c>
      <c r="K122" s="19">
        <f>J122/8</f>
        <v/>
      </c>
      <c r="L122" t="inlineStr">
        <is>
          <t>ASWD-5</t>
        </is>
      </c>
      <c r="M122" t="inlineStr">
        <is>
          <t>F3</t>
        </is>
      </c>
      <c r="N122" t="inlineStr">
        <is>
          <t>M3</t>
        </is>
      </c>
    </row>
    <row r="123" ht="26" customHeight="1">
      <c r="A123" s="21" t="n"/>
      <c r="B123" s="21" t="n"/>
      <c r="C123" s="21" t="n"/>
      <c r="D123" s="8" t="inlineStr">
        <is>
          <t>ViewModel, DTO and converters</t>
        </is>
      </c>
      <c r="E123" s="18" t="n">
        <v>8</v>
      </c>
      <c r="F123" s="19">
        <f>E123*F$2</f>
        <v/>
      </c>
      <c r="G123" s="19">
        <f>SUM(E123:F123)*G$2</f>
        <v/>
      </c>
      <c r="H123" s="19">
        <f>G123*H$2</f>
        <v/>
      </c>
      <c r="I123" s="19">
        <f>G123*I$2</f>
        <v/>
      </c>
      <c r="J123" s="19">
        <f>SUM(G123:I123)</f>
        <v/>
      </c>
      <c r="K123" s="19">
        <f>J123/8</f>
        <v/>
      </c>
      <c r="L123" t="inlineStr">
        <is>
          <t>ASWD-5</t>
        </is>
      </c>
      <c r="M123" t="inlineStr">
        <is>
          <t>F3</t>
        </is>
      </c>
      <c r="N123" t="inlineStr">
        <is>
          <t>M3</t>
        </is>
      </c>
    </row>
    <row r="124" ht="26" customHeight="1">
      <c r="A124" s="21" t="n"/>
      <c r="B124" s="21" t="n"/>
      <c r="C124" s="20" t="n"/>
      <c r="D124" s="8" t="inlineStr">
        <is>
          <t>Screen (XAML) and command wiring</t>
        </is>
      </c>
      <c r="E124" s="18" t="n">
        <v>8</v>
      </c>
      <c r="F124" s="19">
        <f>E124*F$2</f>
        <v/>
      </c>
      <c r="G124" s="19">
        <f>SUM(E124:F124)*G$2</f>
        <v/>
      </c>
      <c r="H124" s="19">
        <f>G124*H$2</f>
        <v/>
      </c>
      <c r="I124" s="19">
        <f>G124*I$2</f>
        <v/>
      </c>
      <c r="J124" s="19">
        <f>SUM(G124:I124)</f>
        <v/>
      </c>
      <c r="K124" s="19">
        <f>J124/8</f>
        <v/>
      </c>
      <c r="L124" t="inlineStr">
        <is>
          <t>ASWD-5</t>
        </is>
      </c>
      <c r="M124" t="inlineStr">
        <is>
          <t>F3</t>
        </is>
      </c>
      <c r="N124" t="inlineStr">
        <is>
          <t>M3</t>
        </is>
      </c>
    </row>
    <row r="125" ht="26" customHeight="1">
      <c r="A125" s="21" t="n"/>
      <c r="B125" s="21" t="n"/>
      <c r="C125" s="17" t="inlineStr">
        <is>
          <t>Same for DPOAE (GID-254902)</t>
        </is>
      </c>
      <c r="D125" s="8" t="inlineStr">
        <is>
          <t>Core model and service</t>
        </is>
      </c>
      <c r="E125" s="18" t="n">
        <v>4</v>
      </c>
      <c r="F125" s="19">
        <f>E125*F$2</f>
        <v/>
      </c>
      <c r="G125" s="19">
        <f>SUM(E125:F125)*G$2</f>
        <v/>
      </c>
      <c r="H125" s="19">
        <f>G125*H$2</f>
        <v/>
      </c>
      <c r="I125" s="19">
        <f>G125*I$2</f>
        <v/>
      </c>
      <c r="J125" s="19">
        <f>SUM(G125:I125)</f>
        <v/>
      </c>
      <c r="K125" s="19">
        <f>J125/8</f>
        <v/>
      </c>
      <c r="L125" t="inlineStr">
        <is>
          <t>ASWD-5</t>
        </is>
      </c>
      <c r="M125" t="inlineStr">
        <is>
          <t>F3</t>
        </is>
      </c>
      <c r="N125" t="inlineStr">
        <is>
          <t>M3</t>
        </is>
      </c>
    </row>
    <row r="126" ht="26" customHeight="1">
      <c r="A126" s="21" t="n"/>
      <c r="B126" s="21" t="n"/>
      <c r="C126" s="21" t="n"/>
      <c r="D126" s="8" t="inlineStr">
        <is>
          <t>ViewModel, DTO and converters</t>
        </is>
      </c>
      <c r="E126" s="18" t="n">
        <v>2</v>
      </c>
      <c r="F126" s="19">
        <f>E126*F$2</f>
        <v/>
      </c>
      <c r="G126" s="19">
        <f>SUM(E126:F126)*G$2</f>
        <v/>
      </c>
      <c r="H126" s="19">
        <f>G126*H$2</f>
        <v/>
      </c>
      <c r="I126" s="19">
        <f>G126*I$2</f>
        <v/>
      </c>
      <c r="J126" s="19">
        <f>SUM(G126:I126)</f>
        <v/>
      </c>
      <c r="K126" s="19">
        <f>J126/8</f>
        <v/>
      </c>
      <c r="L126" t="inlineStr">
        <is>
          <t>ASWD-5</t>
        </is>
      </c>
      <c r="M126" t="inlineStr">
        <is>
          <t>F3</t>
        </is>
      </c>
      <c r="N126" t="inlineStr">
        <is>
          <t>M3</t>
        </is>
      </c>
    </row>
    <row r="127" ht="26" customHeight="1">
      <c r="A127" s="20" t="n"/>
      <c r="B127" s="20" t="n"/>
      <c r="C127" s="20" t="n"/>
      <c r="D127" s="8" t="inlineStr">
        <is>
          <t>Screen (XAML) and command wiring</t>
        </is>
      </c>
      <c r="E127" s="18" t="n">
        <v>2</v>
      </c>
      <c r="F127" s="19">
        <f>E127*F$2</f>
        <v/>
      </c>
      <c r="G127" s="19">
        <f>SUM(E127:F127)*G$2</f>
        <v/>
      </c>
      <c r="H127" s="19">
        <f>G127*H$2</f>
        <v/>
      </c>
      <c r="I127" s="19">
        <f>G127*I$2</f>
        <v/>
      </c>
      <c r="J127" s="19">
        <f>SUM(G127:I127)</f>
        <v/>
      </c>
      <c r="K127" s="19">
        <f>J127/8</f>
        <v/>
      </c>
      <c r="L127" t="inlineStr">
        <is>
          <t>ASWD-5</t>
        </is>
      </c>
      <c r="M127" t="inlineStr">
        <is>
          <t>F3</t>
        </is>
      </c>
      <c r="N127" t="inlineStr">
        <is>
          <t>M3</t>
        </is>
      </c>
    </row>
    <row r="128" ht="26" customHeight="1">
      <c r="A128" s="16" t="inlineStr">
        <is>
          <t>ASWD-6</t>
        </is>
      </c>
      <c r="B128" s="17" t="inlineStr">
        <is>
          <t>F1 - Create the ABR result table and show results with EEG noise and impedance</t>
        </is>
      </c>
      <c r="C128" s="17" t="inlineStr">
        <is>
          <t>Create the ABRResults table</t>
        </is>
      </c>
      <c r="D128" s="8" t="inlineStr">
        <is>
          <t>ABRResults entity and EF Core configuration</t>
        </is>
      </c>
      <c r="E128" s="18" t="n">
        <v>8</v>
      </c>
      <c r="F128" s="19">
        <f>E128*F$2</f>
        <v/>
      </c>
      <c r="G128" s="19">
        <f>SUM(E128:F128)*G$2</f>
        <v/>
      </c>
      <c r="H128" s="19">
        <f>G128*H$2</f>
        <v/>
      </c>
      <c r="I128" s="19">
        <f>G128*I$2</f>
        <v/>
      </c>
      <c r="J128" s="19">
        <f>SUM(G128:I128)</f>
        <v/>
      </c>
      <c r="K128" s="19">
        <f>J128/8</f>
        <v/>
      </c>
      <c r="L128" t="inlineStr">
        <is>
          <t>ASWD-6</t>
        </is>
      </c>
      <c r="M128" t="inlineStr">
        <is>
          <t>F1</t>
        </is>
      </c>
      <c r="N128" t="inlineStr">
        <is>
          <t>M3</t>
        </is>
      </c>
    </row>
    <row r="129" ht="26" customHeight="1">
      <c r="A129" s="21" t="n"/>
      <c r="B129" s="21" t="n"/>
      <c r="C129" s="21" t="n"/>
      <c r="D129" s="8" t="inlineStr">
        <is>
          <t>Migration and DbContext wiring</t>
        </is>
      </c>
      <c r="E129" s="18" t="n">
        <v>5</v>
      </c>
      <c r="F129" s="19">
        <f>E129*F$2</f>
        <v/>
      </c>
      <c r="G129" s="19">
        <f>SUM(E129:F129)*G$2</f>
        <v/>
      </c>
      <c r="H129" s="19">
        <f>G129*H$2</f>
        <v/>
      </c>
      <c r="I129" s="19">
        <f>G129*I$2</f>
        <v/>
      </c>
      <c r="J129" s="19">
        <f>SUM(G129:I129)</f>
        <v/>
      </c>
      <c r="K129" s="19">
        <f>J129/8</f>
        <v/>
      </c>
      <c r="L129" t="inlineStr">
        <is>
          <t>ASWD-6</t>
        </is>
      </c>
      <c r="M129" t="inlineStr">
        <is>
          <t>F1</t>
        </is>
      </c>
      <c r="N129" t="inlineStr">
        <is>
          <t>M3</t>
        </is>
      </c>
    </row>
    <row r="130" ht="26" customHeight="1">
      <c r="A130" s="21" t="n"/>
      <c r="B130" s="21" t="n"/>
      <c r="C130" s="20" t="n"/>
      <c r="D130" s="8" t="inlineStr">
        <is>
          <t>Repository and service methods</t>
        </is>
      </c>
      <c r="E130" s="18" t="n">
        <v>8</v>
      </c>
      <c r="F130" s="19">
        <f>E130*F$2</f>
        <v/>
      </c>
      <c r="G130" s="19">
        <f>SUM(E130:F130)*G$2</f>
        <v/>
      </c>
      <c r="H130" s="19">
        <f>G130*H$2</f>
        <v/>
      </c>
      <c r="I130" s="19">
        <f>G130*I$2</f>
        <v/>
      </c>
      <c r="J130" s="19">
        <f>SUM(G130:I130)</f>
        <v/>
      </c>
      <c r="K130" s="19">
        <f>J130/8</f>
        <v/>
      </c>
      <c r="L130" t="inlineStr">
        <is>
          <t>ASWD-6</t>
        </is>
      </c>
      <c r="M130" t="inlineStr">
        <is>
          <t>F1</t>
        </is>
      </c>
      <c r="N130" t="inlineStr">
        <is>
          <t>M3</t>
        </is>
      </c>
    </row>
    <row r="131" ht="26" customHeight="1">
      <c r="A131" s="21" t="n"/>
      <c r="B131" s="21" t="n"/>
      <c r="C131" s="17" t="inlineStr">
        <is>
          <t>Details, waveform, comments, device info, plus EEG noise and impedance (GID-254903)</t>
        </is>
      </c>
      <c r="D131" s="8" t="inlineStr">
        <is>
          <t>Core model and service</t>
        </is>
      </c>
      <c r="E131" s="18" t="n">
        <v>8</v>
      </c>
      <c r="F131" s="19">
        <f>E131*F$2</f>
        <v/>
      </c>
      <c r="G131" s="19">
        <f>SUM(E131:F131)*G$2</f>
        <v/>
      </c>
      <c r="H131" s="19">
        <f>G131*H$2</f>
        <v/>
      </c>
      <c r="I131" s="19">
        <f>G131*I$2</f>
        <v/>
      </c>
      <c r="J131" s="19">
        <f>SUM(G131:I131)</f>
        <v/>
      </c>
      <c r="K131" s="19">
        <f>J131/8</f>
        <v/>
      </c>
      <c r="L131" t="inlineStr">
        <is>
          <t>ASWD-6</t>
        </is>
      </c>
      <c r="M131" t="inlineStr">
        <is>
          <t>F1</t>
        </is>
      </c>
      <c r="N131" t="inlineStr">
        <is>
          <t>M3</t>
        </is>
      </c>
    </row>
    <row r="132" ht="26" customHeight="1">
      <c r="A132" s="21" t="n"/>
      <c r="B132" s="21" t="n"/>
      <c r="C132" s="21" t="n"/>
      <c r="D132" s="8" t="inlineStr">
        <is>
          <t>ViewModel, DTO and converters</t>
        </is>
      </c>
      <c r="E132" s="18" t="n">
        <v>8</v>
      </c>
      <c r="F132" s="19">
        <f>E132*F$2</f>
        <v/>
      </c>
      <c r="G132" s="19">
        <f>SUM(E132:F132)*G$2</f>
        <v/>
      </c>
      <c r="H132" s="19">
        <f>G132*H$2</f>
        <v/>
      </c>
      <c r="I132" s="19">
        <f>G132*I$2</f>
        <v/>
      </c>
      <c r="J132" s="19">
        <f>SUM(G132:I132)</f>
        <v/>
      </c>
      <c r="K132" s="19">
        <f>J132/8</f>
        <v/>
      </c>
      <c r="L132" t="inlineStr">
        <is>
          <t>ASWD-6</t>
        </is>
      </c>
      <c r="M132" t="inlineStr">
        <is>
          <t>F1</t>
        </is>
      </c>
      <c r="N132" t="inlineStr">
        <is>
          <t>M3</t>
        </is>
      </c>
    </row>
    <row r="133" ht="26" customHeight="1">
      <c r="A133" s="20" t="n"/>
      <c r="B133" s="20" t="n"/>
      <c r="C133" s="20" t="n"/>
      <c r="D133" s="8" t="inlineStr">
        <is>
          <t>Screen (XAML) and command wiring</t>
        </is>
      </c>
      <c r="E133" s="18" t="n">
        <v>8</v>
      </c>
      <c r="F133" s="19">
        <f>E133*F$2</f>
        <v/>
      </c>
      <c r="G133" s="19">
        <f>SUM(E133:F133)*G$2</f>
        <v/>
      </c>
      <c r="H133" s="19">
        <f>G133*H$2</f>
        <v/>
      </c>
      <c r="I133" s="19">
        <f>G133*I$2</f>
        <v/>
      </c>
      <c r="J133" s="19">
        <f>SUM(G133:I133)</f>
        <v/>
      </c>
      <c r="K133" s="19">
        <f>J133/8</f>
        <v/>
      </c>
      <c r="L133" t="inlineStr">
        <is>
          <t>ASWD-6</t>
        </is>
      </c>
      <c r="M133" t="inlineStr">
        <is>
          <t>F1</t>
        </is>
      </c>
      <c r="N133" t="inlineStr">
        <is>
          <t>M3</t>
        </is>
      </c>
    </row>
    <row r="134" ht="26" customHeight="1">
      <c r="A134" s="16" t="inlineStr">
        <is>
          <t>ASWD-7</t>
        </is>
      </c>
      <c r="B134" s="17" t="inlineStr">
        <is>
          <t>F1 - Manage user accounts: create, edit, delete, activate, unlock and set language</t>
        </is>
      </c>
      <c r="C134" s="17" t="inlineStr">
        <is>
          <t>View the user list (GID-254904)</t>
        </is>
      </c>
      <c r="D134" s="8" t="inlineStr">
        <is>
          <t>Core model and service</t>
        </is>
      </c>
      <c r="E134" s="18" t="n">
        <v>4</v>
      </c>
      <c r="F134" s="19">
        <f>E134*F$2</f>
        <v/>
      </c>
      <c r="G134" s="19">
        <f>SUM(E134:F134)*G$2</f>
        <v/>
      </c>
      <c r="H134" s="19">
        <f>G134*H$2</f>
        <v/>
      </c>
      <c r="I134" s="19">
        <f>G134*I$2</f>
        <v/>
      </c>
      <c r="J134" s="19">
        <f>SUM(G134:I134)</f>
        <v/>
      </c>
      <c r="K134" s="19">
        <f>J134/8</f>
        <v/>
      </c>
      <c r="L134" t="inlineStr">
        <is>
          <t>ASWD-7</t>
        </is>
      </c>
      <c r="M134" t="inlineStr">
        <is>
          <t>F1</t>
        </is>
      </c>
      <c r="N134" t="inlineStr">
        <is>
          <t>M4</t>
        </is>
      </c>
    </row>
    <row r="135" ht="26" customHeight="1">
      <c r="A135" s="21" t="n"/>
      <c r="B135" s="21" t="n"/>
      <c r="C135" s="21" t="n"/>
      <c r="D135" s="8" t="inlineStr">
        <is>
          <t>ViewModel, DTO and converters</t>
        </is>
      </c>
      <c r="E135" s="18" t="n">
        <v>4</v>
      </c>
      <c r="F135" s="19">
        <f>E135*F$2</f>
        <v/>
      </c>
      <c r="G135" s="19">
        <f>SUM(E135:F135)*G$2</f>
        <v/>
      </c>
      <c r="H135" s="19">
        <f>G135*H$2</f>
        <v/>
      </c>
      <c r="I135" s="19">
        <f>G135*I$2</f>
        <v/>
      </c>
      <c r="J135" s="19">
        <f>SUM(G135:I135)</f>
        <v/>
      </c>
      <c r="K135" s="19">
        <f>J135/8</f>
        <v/>
      </c>
      <c r="L135" t="inlineStr">
        <is>
          <t>ASWD-7</t>
        </is>
      </c>
      <c r="M135" t="inlineStr">
        <is>
          <t>F1</t>
        </is>
      </c>
      <c r="N135" t="inlineStr">
        <is>
          <t>M4</t>
        </is>
      </c>
    </row>
    <row r="136" ht="26" customHeight="1">
      <c r="A136" s="21" t="n"/>
      <c r="B136" s="21" t="n"/>
      <c r="C136" s="20" t="n"/>
      <c r="D136" s="8" t="inlineStr">
        <is>
          <t>Screen (XAML) and command wiring</t>
        </is>
      </c>
      <c r="E136" s="18" t="n">
        <v>4</v>
      </c>
      <c r="F136" s="19">
        <f>E136*F$2</f>
        <v/>
      </c>
      <c r="G136" s="19">
        <f>SUM(E136:F136)*G$2</f>
        <v/>
      </c>
      <c r="H136" s="19">
        <f>G136*H$2</f>
        <v/>
      </c>
      <c r="I136" s="19">
        <f>G136*I$2</f>
        <v/>
      </c>
      <c r="J136" s="19">
        <f>SUM(G136:I136)</f>
        <v/>
      </c>
      <c r="K136" s="19">
        <f>J136/8</f>
        <v/>
      </c>
      <c r="L136" t="inlineStr">
        <is>
          <t>ASWD-7</t>
        </is>
      </c>
      <c r="M136" t="inlineStr">
        <is>
          <t>F1</t>
        </is>
      </c>
      <c r="N136" t="inlineStr">
        <is>
          <t>M4</t>
        </is>
      </c>
    </row>
    <row r="137" ht="26" customHeight="1">
      <c r="A137" s="21" t="n"/>
      <c r="B137" s="21" t="n"/>
      <c r="C137" s="17" t="inlineStr">
        <is>
          <t>Create a user (GID-254905)</t>
        </is>
      </c>
      <c r="D137" s="8" t="inlineStr">
        <is>
          <t>Core model and service</t>
        </is>
      </c>
      <c r="E137" s="18" t="n">
        <v>2</v>
      </c>
      <c r="F137" s="19">
        <f>E137*F$2</f>
        <v/>
      </c>
      <c r="G137" s="19">
        <f>SUM(E137:F137)*G$2</f>
        <v/>
      </c>
      <c r="H137" s="19">
        <f>G137*H$2</f>
        <v/>
      </c>
      <c r="I137" s="19">
        <f>G137*I$2</f>
        <v/>
      </c>
      <c r="J137" s="19">
        <f>SUM(G137:I137)</f>
        <v/>
      </c>
      <c r="K137" s="19">
        <f>J137/8</f>
        <v/>
      </c>
      <c r="L137" t="inlineStr">
        <is>
          <t>ASWD-7</t>
        </is>
      </c>
      <c r="M137" t="inlineStr">
        <is>
          <t>F1</t>
        </is>
      </c>
      <c r="N137" t="inlineStr">
        <is>
          <t>M4</t>
        </is>
      </c>
    </row>
    <row r="138" ht="26" customHeight="1">
      <c r="A138" s="21" t="n"/>
      <c r="B138" s="21" t="n"/>
      <c r="C138" s="21" t="n"/>
      <c r="D138" s="8" t="inlineStr">
        <is>
          <t>ViewModel, DTO and converters</t>
        </is>
      </c>
      <c r="E138" s="18" t="n">
        <v>1</v>
      </c>
      <c r="F138" s="19">
        <f>E138*F$2</f>
        <v/>
      </c>
      <c r="G138" s="19">
        <f>SUM(E138:F138)*G$2</f>
        <v/>
      </c>
      <c r="H138" s="19">
        <f>G138*H$2</f>
        <v/>
      </c>
      <c r="I138" s="19">
        <f>G138*I$2</f>
        <v/>
      </c>
      <c r="J138" s="19">
        <f>SUM(G138:I138)</f>
        <v/>
      </c>
      <c r="K138" s="19">
        <f>J138/8</f>
        <v/>
      </c>
      <c r="L138" t="inlineStr">
        <is>
          <t>ASWD-7</t>
        </is>
      </c>
      <c r="M138" t="inlineStr">
        <is>
          <t>F1</t>
        </is>
      </c>
      <c r="N138" t="inlineStr">
        <is>
          <t>M4</t>
        </is>
      </c>
    </row>
    <row r="139" ht="26" customHeight="1">
      <c r="A139" s="21" t="n"/>
      <c r="B139" s="21" t="n"/>
      <c r="C139" s="20" t="n"/>
      <c r="D139" s="8" t="inlineStr">
        <is>
          <t>Screen (XAML) and command wiring</t>
        </is>
      </c>
      <c r="E139" s="18" t="n">
        <v>1</v>
      </c>
      <c r="F139" s="19">
        <f>E139*F$2</f>
        <v/>
      </c>
      <c r="G139" s="19">
        <f>SUM(E139:F139)*G$2</f>
        <v/>
      </c>
      <c r="H139" s="19">
        <f>G139*H$2</f>
        <v/>
      </c>
      <c r="I139" s="19">
        <f>G139*I$2</f>
        <v/>
      </c>
      <c r="J139" s="19">
        <f>SUM(G139:I139)</f>
        <v/>
      </c>
      <c r="K139" s="19">
        <f>J139/8</f>
        <v/>
      </c>
      <c r="L139" t="inlineStr">
        <is>
          <t>ASWD-7</t>
        </is>
      </c>
      <c r="M139" t="inlineStr">
        <is>
          <t>F1</t>
        </is>
      </c>
      <c r="N139" t="inlineStr">
        <is>
          <t>M4</t>
        </is>
      </c>
    </row>
    <row r="140" ht="26" customHeight="1">
      <c r="A140" s="21" t="n"/>
      <c r="B140" s="21" t="n"/>
      <c r="C140" s="17" t="inlineStr">
        <is>
          <t>Edit a user (GID-254906)</t>
        </is>
      </c>
      <c r="D140" s="8" t="inlineStr">
        <is>
          <t>Core model and service</t>
        </is>
      </c>
      <c r="E140" s="18" t="n">
        <v>2</v>
      </c>
      <c r="F140" s="19">
        <f>E140*F$2</f>
        <v/>
      </c>
      <c r="G140" s="19">
        <f>SUM(E140:F140)*G$2</f>
        <v/>
      </c>
      <c r="H140" s="19">
        <f>G140*H$2</f>
        <v/>
      </c>
      <c r="I140" s="19">
        <f>G140*I$2</f>
        <v/>
      </c>
      <c r="J140" s="19">
        <f>SUM(G140:I140)</f>
        <v/>
      </c>
      <c r="K140" s="19">
        <f>J140/8</f>
        <v/>
      </c>
      <c r="L140" t="inlineStr">
        <is>
          <t>ASWD-7</t>
        </is>
      </c>
      <c r="M140" t="inlineStr">
        <is>
          <t>F1</t>
        </is>
      </c>
      <c r="N140" t="inlineStr">
        <is>
          <t>M4</t>
        </is>
      </c>
    </row>
    <row r="141" ht="26" customHeight="1">
      <c r="A141" s="21" t="n"/>
      <c r="B141" s="21" t="n"/>
      <c r="C141" s="21" t="n"/>
      <c r="D141" s="8" t="inlineStr">
        <is>
          <t>ViewModel, DTO and converters</t>
        </is>
      </c>
      <c r="E141" s="18" t="n">
        <v>1</v>
      </c>
      <c r="F141" s="19">
        <f>E141*F$2</f>
        <v/>
      </c>
      <c r="G141" s="19">
        <f>SUM(E141:F141)*G$2</f>
        <v/>
      </c>
      <c r="H141" s="19">
        <f>G141*H$2</f>
        <v/>
      </c>
      <c r="I141" s="19">
        <f>G141*I$2</f>
        <v/>
      </c>
      <c r="J141" s="19">
        <f>SUM(G141:I141)</f>
        <v/>
      </c>
      <c r="K141" s="19">
        <f>J141/8</f>
        <v/>
      </c>
      <c r="L141" t="inlineStr">
        <is>
          <t>ASWD-7</t>
        </is>
      </c>
      <c r="M141" t="inlineStr">
        <is>
          <t>F1</t>
        </is>
      </c>
      <c r="N141" t="inlineStr">
        <is>
          <t>M4</t>
        </is>
      </c>
    </row>
    <row r="142" ht="26" customHeight="1">
      <c r="A142" s="21" t="n"/>
      <c r="B142" s="21" t="n"/>
      <c r="C142" s="20" t="n"/>
      <c r="D142" s="8" t="inlineStr">
        <is>
          <t>Screen (XAML) and command wiring</t>
        </is>
      </c>
      <c r="E142" s="18" t="n">
        <v>1</v>
      </c>
      <c r="F142" s="19">
        <f>E142*F$2</f>
        <v/>
      </c>
      <c r="G142" s="19">
        <f>SUM(E142:F142)*G$2</f>
        <v/>
      </c>
      <c r="H142" s="19">
        <f>G142*H$2</f>
        <v/>
      </c>
      <c r="I142" s="19">
        <f>G142*I$2</f>
        <v/>
      </c>
      <c r="J142" s="19">
        <f>SUM(G142:I142)</f>
        <v/>
      </c>
      <c r="K142" s="19">
        <f>J142/8</f>
        <v/>
      </c>
      <c r="L142" t="inlineStr">
        <is>
          <t>ASWD-7</t>
        </is>
      </c>
      <c r="M142" t="inlineStr">
        <is>
          <t>F1</t>
        </is>
      </c>
      <c r="N142" t="inlineStr">
        <is>
          <t>M4</t>
        </is>
      </c>
    </row>
    <row r="143" ht="26" customHeight="1">
      <c r="A143" s="21" t="n"/>
      <c r="B143" s="21" t="n"/>
      <c r="C143" s="17" t="inlineStr">
        <is>
          <t>Delete a user (GID-254908)</t>
        </is>
      </c>
      <c r="D143" s="8" t="inlineStr">
        <is>
          <t>Core model and service</t>
        </is>
      </c>
      <c r="E143" s="18" t="n">
        <v>2</v>
      </c>
      <c r="F143" s="19">
        <f>E143*F$2</f>
        <v/>
      </c>
      <c r="G143" s="19">
        <f>SUM(E143:F143)*G$2</f>
        <v/>
      </c>
      <c r="H143" s="19">
        <f>G143*H$2</f>
        <v/>
      </c>
      <c r="I143" s="19">
        <f>G143*I$2</f>
        <v/>
      </c>
      <c r="J143" s="19">
        <f>SUM(G143:I143)</f>
        <v/>
      </c>
      <c r="K143" s="19">
        <f>J143/8</f>
        <v/>
      </c>
      <c r="L143" t="inlineStr">
        <is>
          <t>ASWD-7</t>
        </is>
      </c>
      <c r="M143" t="inlineStr">
        <is>
          <t>F1</t>
        </is>
      </c>
      <c r="N143" t="inlineStr">
        <is>
          <t>M4</t>
        </is>
      </c>
    </row>
    <row r="144" ht="26" customHeight="1">
      <c r="A144" s="21" t="n"/>
      <c r="B144" s="21" t="n"/>
      <c r="C144" s="21" t="n"/>
      <c r="D144" s="8" t="inlineStr">
        <is>
          <t>ViewModel, DTO and converters</t>
        </is>
      </c>
      <c r="E144" s="18" t="n">
        <v>1</v>
      </c>
      <c r="F144" s="19">
        <f>E144*F$2</f>
        <v/>
      </c>
      <c r="G144" s="19">
        <f>SUM(E144:F144)*G$2</f>
        <v/>
      </c>
      <c r="H144" s="19">
        <f>G144*H$2</f>
        <v/>
      </c>
      <c r="I144" s="19">
        <f>G144*I$2</f>
        <v/>
      </c>
      <c r="J144" s="19">
        <f>SUM(G144:I144)</f>
        <v/>
      </c>
      <c r="K144" s="19">
        <f>J144/8</f>
        <v/>
      </c>
      <c r="L144" t="inlineStr">
        <is>
          <t>ASWD-7</t>
        </is>
      </c>
      <c r="M144" t="inlineStr">
        <is>
          <t>F1</t>
        </is>
      </c>
      <c r="N144" t="inlineStr">
        <is>
          <t>M4</t>
        </is>
      </c>
    </row>
    <row r="145" ht="26" customHeight="1">
      <c r="A145" s="21" t="n"/>
      <c r="B145" s="21" t="n"/>
      <c r="C145" s="20" t="n"/>
      <c r="D145" s="8" t="inlineStr">
        <is>
          <t>Screen (XAML) and command wiring</t>
        </is>
      </c>
      <c r="E145" s="18" t="n">
        <v>1</v>
      </c>
      <c r="F145" s="19">
        <f>E145*F$2</f>
        <v/>
      </c>
      <c r="G145" s="19">
        <f>SUM(E145:F145)*G$2</f>
        <v/>
      </c>
      <c r="H145" s="19">
        <f>G145*H$2</f>
        <v/>
      </c>
      <c r="I145" s="19">
        <f>G145*I$2</f>
        <v/>
      </c>
      <c r="J145" s="19">
        <f>SUM(G145:I145)</f>
        <v/>
      </c>
      <c r="K145" s="19">
        <f>J145/8</f>
        <v/>
      </c>
      <c r="L145" t="inlineStr">
        <is>
          <t>ASWD-7</t>
        </is>
      </c>
      <c r="M145" t="inlineStr">
        <is>
          <t>F1</t>
        </is>
      </c>
      <c r="N145" t="inlineStr">
        <is>
          <t>M4</t>
        </is>
      </c>
    </row>
    <row r="146" ht="26" customHeight="1">
      <c r="A146" s="21" t="n"/>
      <c r="B146" s="21" t="n"/>
      <c r="C146" s="17" t="inlineStr">
        <is>
          <t>Activate and deactivate (GID-254909)</t>
        </is>
      </c>
      <c r="D146" s="8" t="inlineStr">
        <is>
          <t>Core model and service</t>
        </is>
      </c>
      <c r="E146" s="18" t="n">
        <v>2</v>
      </c>
      <c r="F146" s="19">
        <f>E146*F$2</f>
        <v/>
      </c>
      <c r="G146" s="19">
        <f>SUM(E146:F146)*G$2</f>
        <v/>
      </c>
      <c r="H146" s="19">
        <f>G146*H$2</f>
        <v/>
      </c>
      <c r="I146" s="19">
        <f>G146*I$2</f>
        <v/>
      </c>
      <c r="J146" s="19">
        <f>SUM(G146:I146)</f>
        <v/>
      </c>
      <c r="K146" s="19">
        <f>J146/8</f>
        <v/>
      </c>
      <c r="L146" t="inlineStr">
        <is>
          <t>ASWD-7</t>
        </is>
      </c>
      <c r="M146" t="inlineStr">
        <is>
          <t>F1</t>
        </is>
      </c>
      <c r="N146" t="inlineStr">
        <is>
          <t>M4</t>
        </is>
      </c>
    </row>
    <row r="147" ht="26" customHeight="1">
      <c r="A147" s="21" t="n"/>
      <c r="B147" s="21" t="n"/>
      <c r="C147" s="21" t="n"/>
      <c r="D147" s="8" t="inlineStr">
        <is>
          <t>ViewModel, DTO and converters</t>
        </is>
      </c>
      <c r="E147" s="18" t="n">
        <v>1</v>
      </c>
      <c r="F147" s="19">
        <f>E147*F$2</f>
        <v/>
      </c>
      <c r="G147" s="19">
        <f>SUM(E147:F147)*G$2</f>
        <v/>
      </c>
      <c r="H147" s="19">
        <f>G147*H$2</f>
        <v/>
      </c>
      <c r="I147" s="19">
        <f>G147*I$2</f>
        <v/>
      </c>
      <c r="J147" s="19">
        <f>SUM(G147:I147)</f>
        <v/>
      </c>
      <c r="K147" s="19">
        <f>J147/8</f>
        <v/>
      </c>
      <c r="L147" t="inlineStr">
        <is>
          <t>ASWD-7</t>
        </is>
      </c>
      <c r="M147" t="inlineStr">
        <is>
          <t>F1</t>
        </is>
      </c>
      <c r="N147" t="inlineStr">
        <is>
          <t>M4</t>
        </is>
      </c>
    </row>
    <row r="148" ht="26" customHeight="1">
      <c r="A148" s="21" t="n"/>
      <c r="B148" s="21" t="n"/>
      <c r="C148" s="20" t="n"/>
      <c r="D148" s="8" t="inlineStr">
        <is>
          <t>Screen (XAML) and command wiring</t>
        </is>
      </c>
      <c r="E148" s="18" t="n">
        <v>1</v>
      </c>
      <c r="F148" s="19">
        <f>E148*F$2</f>
        <v/>
      </c>
      <c r="G148" s="19">
        <f>SUM(E148:F148)*G$2</f>
        <v/>
      </c>
      <c r="H148" s="19">
        <f>G148*H$2</f>
        <v/>
      </c>
      <c r="I148" s="19">
        <f>G148*I$2</f>
        <v/>
      </c>
      <c r="J148" s="19">
        <f>SUM(G148:I148)</f>
        <v/>
      </c>
      <c r="K148" s="19">
        <f>J148/8</f>
        <v/>
      </c>
      <c r="L148" t="inlineStr">
        <is>
          <t>ASWD-7</t>
        </is>
      </c>
      <c r="M148" t="inlineStr">
        <is>
          <t>F1</t>
        </is>
      </c>
      <c r="N148" t="inlineStr">
        <is>
          <t>M4</t>
        </is>
      </c>
    </row>
    <row r="149" ht="26" customHeight="1">
      <c r="A149" s="21" t="n"/>
      <c r="B149" s="21" t="n"/>
      <c r="C149" s="17" t="inlineStr">
        <is>
          <t>Unlock an account (GID-254907)</t>
        </is>
      </c>
      <c r="D149" s="8" t="inlineStr">
        <is>
          <t>Core model and service</t>
        </is>
      </c>
      <c r="E149" s="18" t="n">
        <v>2</v>
      </c>
      <c r="F149" s="19">
        <f>E149*F$2</f>
        <v/>
      </c>
      <c r="G149" s="19">
        <f>SUM(E149:F149)*G$2</f>
        <v/>
      </c>
      <c r="H149" s="19">
        <f>G149*H$2</f>
        <v/>
      </c>
      <c r="I149" s="19">
        <f>G149*I$2</f>
        <v/>
      </c>
      <c r="J149" s="19">
        <f>SUM(G149:I149)</f>
        <v/>
      </c>
      <c r="K149" s="19">
        <f>J149/8</f>
        <v/>
      </c>
      <c r="L149" t="inlineStr">
        <is>
          <t>ASWD-7</t>
        </is>
      </c>
      <c r="M149" t="inlineStr">
        <is>
          <t>F1</t>
        </is>
      </c>
      <c r="N149" t="inlineStr">
        <is>
          <t>M4</t>
        </is>
      </c>
    </row>
    <row r="150" ht="26" customHeight="1">
      <c r="A150" s="21" t="n"/>
      <c r="B150" s="21" t="n"/>
      <c r="C150" s="21" t="n"/>
      <c r="D150" s="8" t="inlineStr">
        <is>
          <t>ViewModel, DTO and converters</t>
        </is>
      </c>
      <c r="E150" s="18" t="n">
        <v>1</v>
      </c>
      <c r="F150" s="19">
        <f>E150*F$2</f>
        <v/>
      </c>
      <c r="G150" s="19">
        <f>SUM(E150:F150)*G$2</f>
        <v/>
      </c>
      <c r="H150" s="19">
        <f>G150*H$2</f>
        <v/>
      </c>
      <c r="I150" s="19">
        <f>G150*I$2</f>
        <v/>
      </c>
      <c r="J150" s="19">
        <f>SUM(G150:I150)</f>
        <v/>
      </c>
      <c r="K150" s="19">
        <f>J150/8</f>
        <v/>
      </c>
      <c r="L150" t="inlineStr">
        <is>
          <t>ASWD-7</t>
        </is>
      </c>
      <c r="M150" t="inlineStr">
        <is>
          <t>F1</t>
        </is>
      </c>
      <c r="N150" t="inlineStr">
        <is>
          <t>M4</t>
        </is>
      </c>
    </row>
    <row r="151" ht="26" customHeight="1">
      <c r="A151" s="21" t="n"/>
      <c r="B151" s="21" t="n"/>
      <c r="C151" s="20" t="n"/>
      <c r="D151" s="8" t="inlineStr">
        <is>
          <t>Screen (XAML) and command wiring</t>
        </is>
      </c>
      <c r="E151" s="18" t="n">
        <v>1</v>
      </c>
      <c r="F151" s="19">
        <f>E151*F$2</f>
        <v/>
      </c>
      <c r="G151" s="19">
        <f>SUM(E151:F151)*G$2</f>
        <v/>
      </c>
      <c r="H151" s="19">
        <f>G151*H$2</f>
        <v/>
      </c>
      <c r="I151" s="19">
        <f>G151*I$2</f>
        <v/>
      </c>
      <c r="J151" s="19">
        <f>SUM(G151:I151)</f>
        <v/>
      </c>
      <c r="K151" s="19">
        <f>J151/8</f>
        <v/>
      </c>
      <c r="L151" t="inlineStr">
        <is>
          <t>ASWD-7</t>
        </is>
      </c>
      <c r="M151" t="inlineStr">
        <is>
          <t>F1</t>
        </is>
      </c>
      <c r="N151" t="inlineStr">
        <is>
          <t>M4</t>
        </is>
      </c>
    </row>
    <row r="152" ht="26" customHeight="1">
      <c r="A152" s="21" t="n"/>
      <c r="B152" s="21" t="n"/>
      <c r="C152" s="17" t="inlineStr">
        <is>
          <t>Choose the display language for each user (GID-254910)</t>
        </is>
      </c>
      <c r="D152" s="8" t="inlineStr">
        <is>
          <t>Settings entity and storage</t>
        </is>
      </c>
      <c r="E152" s="18" t="n">
        <v>4</v>
      </c>
      <c r="F152" s="19">
        <f>E152*F$2</f>
        <v/>
      </c>
      <c r="G152" s="19">
        <f>SUM(E152:F152)*G$2</f>
        <v/>
      </c>
      <c r="H152" s="19">
        <f>G152*H$2</f>
        <v/>
      </c>
      <c r="I152" s="19">
        <f>G152*I$2</f>
        <v/>
      </c>
      <c r="J152" s="19">
        <f>SUM(G152:I152)</f>
        <v/>
      </c>
      <c r="K152" s="19">
        <f>J152/8</f>
        <v/>
      </c>
      <c r="L152" t="inlineStr">
        <is>
          <t>ASWD-7</t>
        </is>
      </c>
      <c r="M152" t="inlineStr">
        <is>
          <t>F1</t>
        </is>
      </c>
      <c r="N152" t="inlineStr">
        <is>
          <t>M4</t>
        </is>
      </c>
    </row>
    <row r="153" ht="26" customHeight="1">
      <c r="A153" s="21" t="n"/>
      <c r="B153" s="21" t="n"/>
      <c r="C153" s="21" t="n"/>
      <c r="D153" s="8" t="inlineStr">
        <is>
          <t>Configuration screen and validation</t>
        </is>
      </c>
      <c r="E153" s="18" t="n">
        <v>5</v>
      </c>
      <c r="F153" s="19">
        <f>E153*F$2</f>
        <v/>
      </c>
      <c r="G153" s="19">
        <f>SUM(E153:F153)*G$2</f>
        <v/>
      </c>
      <c r="H153" s="19">
        <f>G153*H$2</f>
        <v/>
      </c>
      <c r="I153" s="19">
        <f>G153*I$2</f>
        <v/>
      </c>
      <c r="J153" s="19">
        <f>SUM(G153:I153)</f>
        <v/>
      </c>
      <c r="K153" s="19">
        <f>J153/8</f>
        <v/>
      </c>
      <c r="L153" t="inlineStr">
        <is>
          <t>ASWD-7</t>
        </is>
      </c>
      <c r="M153" t="inlineStr">
        <is>
          <t>F1</t>
        </is>
      </c>
      <c r="N153" t="inlineStr">
        <is>
          <t>M4</t>
        </is>
      </c>
    </row>
    <row r="154" ht="26" customHeight="1">
      <c r="A154" s="21" t="n"/>
      <c r="B154" s="21" t="n"/>
      <c r="C154" s="20" t="n"/>
      <c r="D154" s="8" t="inlineStr">
        <is>
          <t>Apply the setting everywhere it is read</t>
        </is>
      </c>
      <c r="E154" s="18" t="n">
        <v>3</v>
      </c>
      <c r="F154" s="19">
        <f>E154*F$2</f>
        <v/>
      </c>
      <c r="G154" s="19">
        <f>SUM(E154:F154)*G$2</f>
        <v/>
      </c>
      <c r="H154" s="19">
        <f>G154*H$2</f>
        <v/>
      </c>
      <c r="I154" s="19">
        <f>G154*I$2</f>
        <v/>
      </c>
      <c r="J154" s="19">
        <f>SUM(G154:I154)</f>
        <v/>
      </c>
      <c r="K154" s="19">
        <f>J154/8</f>
        <v/>
      </c>
      <c r="L154" t="inlineStr">
        <is>
          <t>ASWD-7</t>
        </is>
      </c>
      <c r="M154" t="inlineStr">
        <is>
          <t>F1</t>
        </is>
      </c>
      <c r="N154" t="inlineStr">
        <is>
          <t>M4</t>
        </is>
      </c>
    </row>
    <row r="155" ht="26" customHeight="1">
      <c r="A155" s="21" t="n"/>
      <c r="B155" s="21" t="n"/>
      <c r="C155" s="17" t="inlineStr">
        <is>
          <t>Let a user set their own display language from the Settings screen — the dropdown is there but the choice is never stored (carried over from AccuLink)</t>
        </is>
      </c>
      <c r="D155" s="8" t="inlineStr">
        <is>
          <t>Settings entity and storage</t>
        </is>
      </c>
      <c r="E155" s="18" t="n">
        <v>2</v>
      </c>
      <c r="F155" s="19">
        <f>E155*F$2</f>
        <v/>
      </c>
      <c r="G155" s="19">
        <f>SUM(E155:F155)*G$2</f>
        <v/>
      </c>
      <c r="H155" s="19">
        <f>G155*H$2</f>
        <v/>
      </c>
      <c r="I155" s="19">
        <f>G155*I$2</f>
        <v/>
      </c>
      <c r="J155" s="19">
        <f>SUM(G155:I155)</f>
        <v/>
      </c>
      <c r="K155" s="19">
        <f>J155/8</f>
        <v/>
      </c>
      <c r="L155" t="inlineStr">
        <is>
          <t>ASWD-7</t>
        </is>
      </c>
      <c r="M155" t="inlineStr">
        <is>
          <t>F1</t>
        </is>
      </c>
      <c r="N155" t="inlineStr">
        <is>
          <t>M4</t>
        </is>
      </c>
    </row>
    <row r="156" ht="26" customHeight="1">
      <c r="A156" s="21" t="n"/>
      <c r="B156" s="21" t="n"/>
      <c r="C156" s="21" t="n"/>
      <c r="D156" s="8" t="inlineStr">
        <is>
          <t>Configuration screen and validation</t>
        </is>
      </c>
      <c r="E156" s="18" t="n">
        <v>2</v>
      </c>
      <c r="F156" s="19">
        <f>E156*F$2</f>
        <v/>
      </c>
      <c r="G156" s="19">
        <f>SUM(E156:F156)*G$2</f>
        <v/>
      </c>
      <c r="H156" s="19">
        <f>G156*H$2</f>
        <v/>
      </c>
      <c r="I156" s="19">
        <f>G156*I$2</f>
        <v/>
      </c>
      <c r="J156" s="19">
        <f>SUM(G156:I156)</f>
        <v/>
      </c>
      <c r="K156" s="19">
        <f>J156/8</f>
        <v/>
      </c>
      <c r="L156" t="inlineStr">
        <is>
          <t>ASWD-7</t>
        </is>
      </c>
      <c r="M156" t="inlineStr">
        <is>
          <t>F1</t>
        </is>
      </c>
      <c r="N156" t="inlineStr">
        <is>
          <t>M4</t>
        </is>
      </c>
    </row>
    <row r="157" ht="26" customHeight="1">
      <c r="A157" s="21" t="n"/>
      <c r="B157" s="21" t="n"/>
      <c r="C157" s="20" t="n"/>
      <c r="D157" s="8" t="inlineStr">
        <is>
          <t>Apply the setting everywhere it is read</t>
        </is>
      </c>
      <c r="E157" s="18" t="n">
        <v>2</v>
      </c>
      <c r="F157" s="19">
        <f>E157*F$2</f>
        <v/>
      </c>
      <c r="G157" s="19">
        <f>SUM(E157:F157)*G$2</f>
        <v/>
      </c>
      <c r="H157" s="19">
        <f>G157*H$2</f>
        <v/>
      </c>
      <c r="I157" s="19">
        <f>G157*I$2</f>
        <v/>
      </c>
      <c r="J157" s="19">
        <f>SUM(G157:I157)</f>
        <v/>
      </c>
      <c r="K157" s="19">
        <f>J157/8</f>
        <v/>
      </c>
      <c r="L157" t="inlineStr">
        <is>
          <t>ASWD-7</t>
        </is>
      </c>
      <c r="M157" t="inlineStr">
        <is>
          <t>F1</t>
        </is>
      </c>
      <c r="N157" t="inlineStr">
        <is>
          <t>M4</t>
        </is>
      </c>
    </row>
    <row r="158" ht="26" customHeight="1">
      <c r="A158" s="21" t="n"/>
      <c r="B158" s="21" t="n"/>
      <c r="C158" s="17" t="inlineStr">
        <is>
          <t>Wire this screen's Add/Edit/Delete and Save/Revert/Undo onto Epic 2 F2's shared framework, replacing its own Stack&lt;UserSnapshot&gt; copy</t>
        </is>
      </c>
      <c r="D158" s="8" t="inlineStr">
        <is>
          <t>Core model and service</t>
        </is>
      </c>
      <c r="E158" s="18" t="n">
        <v>2</v>
      </c>
      <c r="F158" s="19">
        <f>E158*F$2</f>
        <v/>
      </c>
      <c r="G158" s="19">
        <f>SUM(E158:F158)*G$2</f>
        <v/>
      </c>
      <c r="H158" s="19">
        <f>G158*H$2</f>
        <v/>
      </c>
      <c r="I158" s="19">
        <f>G158*I$2</f>
        <v/>
      </c>
      <c r="J158" s="19">
        <f>SUM(G158:I158)</f>
        <v/>
      </c>
      <c r="K158" s="19">
        <f>J158/8</f>
        <v/>
      </c>
      <c r="L158" t="inlineStr">
        <is>
          <t>ASWD-7</t>
        </is>
      </c>
      <c r="M158" t="inlineStr">
        <is>
          <t>F1</t>
        </is>
      </c>
      <c r="N158" t="inlineStr">
        <is>
          <t>M4</t>
        </is>
      </c>
    </row>
    <row r="159" ht="26" customHeight="1">
      <c r="A159" s="21" t="n"/>
      <c r="B159" s="21" t="n"/>
      <c r="C159" s="21" t="n"/>
      <c r="D159" s="8" t="inlineStr">
        <is>
          <t>ViewModel, DTO and converters</t>
        </is>
      </c>
      <c r="E159" s="18" t="n">
        <v>1</v>
      </c>
      <c r="F159" s="19">
        <f>E159*F$2</f>
        <v/>
      </c>
      <c r="G159" s="19">
        <f>SUM(E159:F159)*G$2</f>
        <v/>
      </c>
      <c r="H159" s="19">
        <f>G159*H$2</f>
        <v/>
      </c>
      <c r="I159" s="19">
        <f>G159*I$2</f>
        <v/>
      </c>
      <c r="J159" s="19">
        <f>SUM(G159:I159)</f>
        <v/>
      </c>
      <c r="K159" s="19">
        <f>J159/8</f>
        <v/>
      </c>
      <c r="L159" t="inlineStr">
        <is>
          <t>ASWD-7</t>
        </is>
      </c>
      <c r="M159" t="inlineStr">
        <is>
          <t>F1</t>
        </is>
      </c>
      <c r="N159" t="inlineStr">
        <is>
          <t>M4</t>
        </is>
      </c>
    </row>
    <row r="160" ht="26" customHeight="1">
      <c r="A160" s="21" t="n"/>
      <c r="B160" s="21" t="n"/>
      <c r="C160" s="20" t="n"/>
      <c r="D160" s="8" t="inlineStr">
        <is>
          <t>Screen (XAML) and command wiring</t>
        </is>
      </c>
      <c r="E160" s="18" t="n">
        <v>1</v>
      </c>
      <c r="F160" s="19">
        <f>E160*F$2</f>
        <v/>
      </c>
      <c r="G160" s="19">
        <f>SUM(E160:F160)*G$2</f>
        <v/>
      </c>
      <c r="H160" s="19">
        <f>G160*H$2</f>
        <v/>
      </c>
      <c r="I160" s="19">
        <f>G160*I$2</f>
        <v/>
      </c>
      <c r="J160" s="19">
        <f>SUM(G160:I160)</f>
        <v/>
      </c>
      <c r="K160" s="19">
        <f>J160/8</f>
        <v/>
      </c>
      <c r="L160" t="inlineStr">
        <is>
          <t>ASWD-7</t>
        </is>
      </c>
      <c r="M160" t="inlineStr">
        <is>
          <t>F1</t>
        </is>
      </c>
      <c r="N160" t="inlineStr">
        <is>
          <t>M4</t>
        </is>
      </c>
    </row>
    <row r="161" ht="26" customHeight="1">
      <c r="A161" s="21" t="n"/>
      <c r="B161" s="21" t="n"/>
      <c r="C161" s="17" t="inlineStr">
        <is>
          <t>Prevent transfer of deactivated user accounts to the device (GID-255022)</t>
        </is>
      </c>
      <c r="D161" s="8" t="inlineStr">
        <is>
          <t>Transport and protocol handling</t>
        </is>
      </c>
      <c r="E161" s="18" t="n">
        <v>5</v>
      </c>
      <c r="F161" s="19">
        <f>E161*F$2</f>
        <v/>
      </c>
      <c r="G161" s="19">
        <f>SUM(E161:F161)*G$2</f>
        <v/>
      </c>
      <c r="H161" s="19">
        <f>G161*H$2</f>
        <v/>
      </c>
      <c r="I161" s="19">
        <f>G161*I$2</f>
        <v/>
      </c>
      <c r="J161" s="19">
        <f>SUM(G161:I161)</f>
        <v/>
      </c>
      <c r="K161" s="19">
        <f>J161/8</f>
        <v/>
      </c>
      <c r="L161" t="inlineStr">
        <is>
          <t>ASWD-7</t>
        </is>
      </c>
      <c r="M161" t="inlineStr">
        <is>
          <t>F1</t>
        </is>
      </c>
      <c r="N161" t="inlineStr">
        <is>
          <t>M4</t>
        </is>
      </c>
    </row>
    <row r="162" ht="26" customHeight="1">
      <c r="A162" s="21" t="n"/>
      <c r="B162" s="21" t="n"/>
      <c r="C162" s="21" t="n"/>
      <c r="D162" s="8" t="inlineStr">
        <is>
          <t>Core interfaces and adapter service</t>
        </is>
      </c>
      <c r="E162" s="18" t="n">
        <v>4</v>
      </c>
      <c r="F162" s="19">
        <f>E162*F$2</f>
        <v/>
      </c>
      <c r="G162" s="19">
        <f>SUM(E162:F162)*G$2</f>
        <v/>
      </c>
      <c r="H162" s="19">
        <f>G162*H$2</f>
        <v/>
      </c>
      <c r="I162" s="19">
        <f>G162*I$2</f>
        <v/>
      </c>
      <c r="J162" s="19">
        <f>SUM(G162:I162)</f>
        <v/>
      </c>
      <c r="K162" s="19">
        <f>J162/8</f>
        <v/>
      </c>
      <c r="L162" t="inlineStr">
        <is>
          <t>ASWD-7</t>
        </is>
      </c>
      <c r="M162" t="inlineStr">
        <is>
          <t>F1</t>
        </is>
      </c>
      <c r="N162" t="inlineStr">
        <is>
          <t>M4</t>
        </is>
      </c>
    </row>
    <row r="163" ht="26" customHeight="1">
      <c r="A163" s="21" t="n"/>
      <c r="B163" s="20" t="n"/>
      <c r="C163" s="20" t="n"/>
      <c r="D163" s="8" t="inlineStr">
        <is>
          <t>On-screen status and error feedback</t>
        </is>
      </c>
      <c r="E163" s="18" t="n">
        <v>3</v>
      </c>
      <c r="F163" s="19">
        <f>E163*F$2</f>
        <v/>
      </c>
      <c r="G163" s="19">
        <f>SUM(E163:F163)*G$2</f>
        <v/>
      </c>
      <c r="H163" s="19">
        <f>G163*H$2</f>
        <v/>
      </c>
      <c r="I163" s="19">
        <f>G163*I$2</f>
        <v/>
      </c>
      <c r="J163" s="19">
        <f>SUM(G163:I163)</f>
        <v/>
      </c>
      <c r="K163" s="19">
        <f>J163/8</f>
        <v/>
      </c>
      <c r="L163" t="inlineStr">
        <is>
          <t>ASWD-7</t>
        </is>
      </c>
      <c r="M163" t="inlineStr">
        <is>
          <t>F1</t>
        </is>
      </c>
      <c r="N163" t="inlineStr">
        <is>
          <t>M4</t>
        </is>
      </c>
    </row>
    <row r="164" ht="26" customHeight="1">
      <c r="A164" s="21" t="n"/>
      <c r="B164" s="17" t="inlineStr">
        <is>
          <t>F2 - Apply and configure the password and lockout rules everywhere</t>
        </is>
      </c>
      <c r="C164" s="17" t="inlineStr">
        <is>
          <t>Move the password rules into Core and apply them to every place a password is set, and remove the hardcoded "1234" defaults</t>
        </is>
      </c>
      <c r="D164" s="8" t="inlineStr">
        <is>
          <t>Settings entity and storage</t>
        </is>
      </c>
      <c r="E164" s="18" t="n">
        <v>8</v>
      </c>
      <c r="F164" s="19">
        <f>E164*F$2</f>
        <v/>
      </c>
      <c r="G164" s="19">
        <f>SUM(E164:F164)*G$2</f>
        <v/>
      </c>
      <c r="H164" s="19">
        <f>G164*H$2</f>
        <v/>
      </c>
      <c r="I164" s="19">
        <f>G164*I$2</f>
        <v/>
      </c>
      <c r="J164" s="19">
        <f>SUM(G164:I164)</f>
        <v/>
      </c>
      <c r="K164" s="19">
        <f>J164/8</f>
        <v/>
      </c>
      <c r="L164" t="inlineStr">
        <is>
          <t>ASWD-7</t>
        </is>
      </c>
      <c r="M164" t="inlineStr">
        <is>
          <t>F2</t>
        </is>
      </c>
      <c r="N164" t="inlineStr">
        <is>
          <t>M4</t>
        </is>
      </c>
    </row>
    <row r="165" ht="26" customHeight="1">
      <c r="A165" s="21" t="n"/>
      <c r="B165" s="21" t="n"/>
      <c r="C165" s="21" t="n"/>
      <c r="D165" s="8" t="inlineStr">
        <is>
          <t>Configuration screen and validation</t>
        </is>
      </c>
      <c r="E165" s="18" t="n">
        <v>8</v>
      </c>
      <c r="F165" s="19">
        <f>E165*F$2</f>
        <v/>
      </c>
      <c r="G165" s="19">
        <f>SUM(E165:F165)*G$2</f>
        <v/>
      </c>
      <c r="H165" s="19">
        <f>G165*H$2</f>
        <v/>
      </c>
      <c r="I165" s="19">
        <f>G165*I$2</f>
        <v/>
      </c>
      <c r="J165" s="19">
        <f>SUM(G165:I165)</f>
        <v/>
      </c>
      <c r="K165" s="19">
        <f>J165/8</f>
        <v/>
      </c>
      <c r="L165" t="inlineStr">
        <is>
          <t>ASWD-7</t>
        </is>
      </c>
      <c r="M165" t="inlineStr">
        <is>
          <t>F2</t>
        </is>
      </c>
      <c r="N165" t="inlineStr">
        <is>
          <t>M4</t>
        </is>
      </c>
    </row>
    <row r="166" ht="26" customHeight="1">
      <c r="A166" s="21" t="n"/>
      <c r="B166" s="21" t="n"/>
      <c r="C166" s="20" t="n"/>
      <c r="D166" s="8" t="inlineStr">
        <is>
          <t>Apply the setting everywhere it is read</t>
        </is>
      </c>
      <c r="E166" s="18" t="n">
        <v>8</v>
      </c>
      <c r="F166" s="19">
        <f>E166*F$2</f>
        <v/>
      </c>
      <c r="G166" s="19">
        <f>SUM(E166:F166)*G$2</f>
        <v/>
      </c>
      <c r="H166" s="19">
        <f>G166*H$2</f>
        <v/>
      </c>
      <c r="I166" s="19">
        <f>G166*I$2</f>
        <v/>
      </c>
      <c r="J166" s="19">
        <f>SUM(G166:I166)</f>
        <v/>
      </c>
      <c r="K166" s="19">
        <f>J166/8</f>
        <v/>
      </c>
      <c r="L166" t="inlineStr">
        <is>
          <t>ASWD-7</t>
        </is>
      </c>
      <c r="M166" t="inlineStr">
        <is>
          <t>F2</t>
        </is>
      </c>
      <c r="N166" t="inlineStr">
        <is>
          <t>M4</t>
        </is>
      </c>
    </row>
    <row r="167" ht="26" customHeight="1">
      <c r="A167" s="21" t="n"/>
      <c r="B167" s="21" t="n"/>
      <c r="C167" s="17" t="inlineStr">
        <is>
          <t>Let a signed-in user change their own password from the Settings screen — make Save actually persist, add a current-password check, and stop revealing the password in a plain text box (2.0)</t>
        </is>
      </c>
      <c r="D167" s="8" t="inlineStr">
        <is>
          <t>Settings entity and storage</t>
        </is>
      </c>
      <c r="E167" s="18" t="n">
        <v>4</v>
      </c>
      <c r="F167" s="19">
        <f>E167*F$2</f>
        <v/>
      </c>
      <c r="G167" s="19">
        <f>SUM(E167:F167)*G$2</f>
        <v/>
      </c>
      <c r="H167" s="19">
        <f>G167*H$2</f>
        <v/>
      </c>
      <c r="I167" s="19">
        <f>G167*I$2</f>
        <v/>
      </c>
      <c r="J167" s="19">
        <f>SUM(G167:I167)</f>
        <v/>
      </c>
      <c r="K167" s="19">
        <f>J167/8</f>
        <v/>
      </c>
      <c r="L167" t="inlineStr">
        <is>
          <t>ASWD-7</t>
        </is>
      </c>
      <c r="M167" t="inlineStr">
        <is>
          <t>F2</t>
        </is>
      </c>
      <c r="N167" t="inlineStr">
        <is>
          <t>M4</t>
        </is>
      </c>
    </row>
    <row r="168" ht="26" customHeight="1">
      <c r="A168" s="21" t="n"/>
      <c r="B168" s="21" t="n"/>
      <c r="C168" s="21" t="n"/>
      <c r="D168" s="8" t="inlineStr">
        <is>
          <t>Configuration screen and validation</t>
        </is>
      </c>
      <c r="E168" s="18" t="n">
        <v>4</v>
      </c>
      <c r="F168" s="19">
        <f>E168*F$2</f>
        <v/>
      </c>
      <c r="G168" s="19">
        <f>SUM(E168:F168)*G$2</f>
        <v/>
      </c>
      <c r="H168" s="19">
        <f>G168*H$2</f>
        <v/>
      </c>
      <c r="I168" s="19">
        <f>G168*I$2</f>
        <v/>
      </c>
      <c r="J168" s="19">
        <f>SUM(G168:I168)</f>
        <v/>
      </c>
      <c r="K168" s="19">
        <f>J168/8</f>
        <v/>
      </c>
      <c r="L168" t="inlineStr">
        <is>
          <t>ASWD-7</t>
        </is>
      </c>
      <c r="M168" t="inlineStr">
        <is>
          <t>F2</t>
        </is>
      </c>
      <c r="N168" t="inlineStr">
        <is>
          <t>M4</t>
        </is>
      </c>
    </row>
    <row r="169" ht="26" customHeight="1">
      <c r="A169" s="21" t="n"/>
      <c r="B169" s="21" t="n"/>
      <c r="C169" s="20" t="n"/>
      <c r="D169" s="8" t="inlineStr">
        <is>
          <t>Apply the setting everywhere it is read</t>
        </is>
      </c>
      <c r="E169" s="18" t="n">
        <v>4</v>
      </c>
      <c r="F169" s="19">
        <f>E169*F$2</f>
        <v/>
      </c>
      <c r="G169" s="19">
        <f>SUM(E169:F169)*G$2</f>
        <v/>
      </c>
      <c r="H169" s="19">
        <f>G169*H$2</f>
        <v/>
      </c>
      <c r="I169" s="19">
        <f>G169*I$2</f>
        <v/>
      </c>
      <c r="J169" s="19">
        <f>SUM(G169:I169)</f>
        <v/>
      </c>
      <c r="K169" s="19">
        <f>J169/8</f>
        <v/>
      </c>
      <c r="L169" t="inlineStr">
        <is>
          <t>ASWD-7</t>
        </is>
      </c>
      <c r="M169" t="inlineStr">
        <is>
          <t>F2</t>
        </is>
      </c>
      <c r="N169" t="inlineStr">
        <is>
          <t>M4</t>
        </is>
      </c>
    </row>
    <row r="170" ht="26" customHeight="1">
      <c r="A170" s="21" t="n"/>
      <c r="B170" s="21" t="n"/>
      <c r="C170" s="17" t="inlineStr">
        <is>
          <t>Let an admin choose None / Simple / Complex (GID-254912), and show what each level actually enforces — the definitions are hardcoded in a resource file today (carried over from AccuLink)</t>
        </is>
      </c>
      <c r="D170" s="8" t="inlineStr">
        <is>
          <t>Rule in the Core or Application layer</t>
        </is>
      </c>
      <c r="E170" s="18" t="n">
        <v>8</v>
      </c>
      <c r="F170" s="19">
        <f>E170*F$2</f>
        <v/>
      </c>
      <c r="G170" s="19">
        <f>SUM(E170:F170)*G$2</f>
        <v/>
      </c>
      <c r="H170" s="19">
        <f>G170*H$2</f>
        <v/>
      </c>
      <c r="I170" s="19">
        <f>G170*I$2</f>
        <v/>
      </c>
      <c r="J170" s="19">
        <f>SUM(G170:I170)</f>
        <v/>
      </c>
      <c r="K170" s="19">
        <f>J170/8</f>
        <v/>
      </c>
      <c r="L170" t="inlineStr">
        <is>
          <t>ASWD-7</t>
        </is>
      </c>
      <c r="M170" t="inlineStr">
        <is>
          <t>F2</t>
        </is>
      </c>
      <c r="N170" t="inlineStr">
        <is>
          <t>M4</t>
        </is>
      </c>
    </row>
    <row r="171" ht="26" customHeight="1">
      <c r="A171" s="21" t="n"/>
      <c r="B171" s="21" t="n"/>
      <c r="C171" s="20" t="n"/>
      <c r="D171" s="8" t="inlineStr">
        <is>
          <t>Apply at every call site and hide the blocked actions</t>
        </is>
      </c>
      <c r="E171" s="18" t="n">
        <v>6</v>
      </c>
      <c r="F171" s="19">
        <f>E171*F$2</f>
        <v/>
      </c>
      <c r="G171" s="19">
        <f>SUM(E171:F171)*G$2</f>
        <v/>
      </c>
      <c r="H171" s="19">
        <f>G171*H$2</f>
        <v/>
      </c>
      <c r="I171" s="19">
        <f>G171*I$2</f>
        <v/>
      </c>
      <c r="J171" s="19">
        <f>SUM(G171:I171)</f>
        <v/>
      </c>
      <c r="K171" s="19">
        <f>J171/8</f>
        <v/>
      </c>
      <c r="L171" t="inlineStr">
        <is>
          <t>ASWD-7</t>
        </is>
      </c>
      <c r="M171" t="inlineStr">
        <is>
          <t>F2</t>
        </is>
      </c>
      <c r="N171" t="inlineStr">
        <is>
          <t>M4</t>
        </is>
      </c>
    </row>
    <row r="172" ht="26" customHeight="1">
      <c r="A172" s="21" t="n"/>
      <c r="B172" s="21" t="n"/>
      <c r="C172" s="17" t="inlineStr">
        <is>
          <t>Screen to set the lockout duration (GID-254911)</t>
        </is>
      </c>
      <c r="D172" s="8" t="inlineStr">
        <is>
          <t>Settings entity and storage</t>
        </is>
      </c>
      <c r="E172" s="18" t="n">
        <v>4</v>
      </c>
      <c r="F172" s="19">
        <f>E172*F$2</f>
        <v/>
      </c>
      <c r="G172" s="19">
        <f>SUM(E172:F172)*G$2</f>
        <v/>
      </c>
      <c r="H172" s="19">
        <f>G172*H$2</f>
        <v/>
      </c>
      <c r="I172" s="19">
        <f>G172*I$2</f>
        <v/>
      </c>
      <c r="J172" s="19">
        <f>SUM(G172:I172)</f>
        <v/>
      </c>
      <c r="K172" s="19">
        <f>J172/8</f>
        <v/>
      </c>
      <c r="L172" t="inlineStr">
        <is>
          <t>ASWD-7</t>
        </is>
      </c>
      <c r="M172" t="inlineStr">
        <is>
          <t>F2</t>
        </is>
      </c>
      <c r="N172" t="inlineStr">
        <is>
          <t>M4</t>
        </is>
      </c>
    </row>
    <row r="173" ht="26" customHeight="1">
      <c r="A173" s="21" t="n"/>
      <c r="B173" s="21" t="n"/>
      <c r="C173" s="21" t="n"/>
      <c r="D173" s="8" t="inlineStr">
        <is>
          <t>Configuration screen and validation</t>
        </is>
      </c>
      <c r="E173" s="18" t="n">
        <v>4</v>
      </c>
      <c r="F173" s="19">
        <f>E173*F$2</f>
        <v/>
      </c>
      <c r="G173" s="19">
        <f>SUM(E173:F173)*G$2</f>
        <v/>
      </c>
      <c r="H173" s="19">
        <f>G173*H$2</f>
        <v/>
      </c>
      <c r="I173" s="19">
        <f>G173*I$2</f>
        <v/>
      </c>
      <c r="J173" s="19">
        <f>SUM(G173:I173)</f>
        <v/>
      </c>
      <c r="K173" s="19">
        <f>J173/8</f>
        <v/>
      </c>
      <c r="L173" t="inlineStr">
        <is>
          <t>ASWD-7</t>
        </is>
      </c>
      <c r="M173" t="inlineStr">
        <is>
          <t>F2</t>
        </is>
      </c>
      <c r="N173" t="inlineStr">
        <is>
          <t>M4</t>
        </is>
      </c>
    </row>
    <row r="174" ht="26" customHeight="1">
      <c r="A174" s="21" t="n"/>
      <c r="B174" s="21" t="n"/>
      <c r="C174" s="20" t="n"/>
      <c r="D174" s="8" t="inlineStr">
        <is>
          <t>Apply the setting everywhere it is read</t>
        </is>
      </c>
      <c r="E174" s="18" t="n">
        <v>4</v>
      </c>
      <c r="F174" s="19">
        <f>E174*F$2</f>
        <v/>
      </c>
      <c r="G174" s="19">
        <f>SUM(E174:F174)*G$2</f>
        <v/>
      </c>
      <c r="H174" s="19">
        <f>G174*H$2</f>
        <v/>
      </c>
      <c r="I174" s="19">
        <f>G174*I$2</f>
        <v/>
      </c>
      <c r="J174" s="19">
        <f>SUM(G174:I174)</f>
        <v/>
      </c>
      <c r="K174" s="19">
        <f>J174/8</f>
        <v/>
      </c>
      <c r="L174" t="inlineStr">
        <is>
          <t>ASWD-7</t>
        </is>
      </c>
      <c r="M174" t="inlineStr">
        <is>
          <t>F2</t>
        </is>
      </c>
      <c r="N174" t="inlineStr">
        <is>
          <t>M4</t>
        </is>
      </c>
    </row>
    <row r="175" ht="26" customHeight="1">
      <c r="A175" s="21" t="n"/>
      <c r="B175" s="21" t="n"/>
      <c r="C175" s="17" t="inlineStr">
        <is>
          <t>Decide what happens to the 90-day expiry — Natus confirmed that it is wanted, so it is built rather than removed; *needs a new requirement for the period and the day-91 behaviour*</t>
        </is>
      </c>
      <c r="D175" s="8" t="inlineStr">
        <is>
          <t>Timeboxed spike against the real data, file or device</t>
        </is>
      </c>
      <c r="E175" s="18" t="n">
        <v>8</v>
      </c>
      <c r="F175" s="19">
        <f>E175*F$2</f>
        <v/>
      </c>
      <c r="G175" s="19">
        <f>SUM(E175:F175)*G$2</f>
        <v/>
      </c>
      <c r="H175" s="19">
        <f>G175*H$2</f>
        <v/>
      </c>
      <c r="I175" s="19">
        <f>G175*I$2</f>
        <v/>
      </c>
      <c r="J175" s="19">
        <f>SUM(G175:I175)</f>
        <v/>
      </c>
      <c r="K175" s="19">
        <f>J175/8</f>
        <v/>
      </c>
      <c r="L175" t="inlineStr">
        <is>
          <t>ASWD-7</t>
        </is>
      </c>
      <c r="M175" t="inlineStr">
        <is>
          <t>F2</t>
        </is>
      </c>
      <c r="N175" t="inlineStr">
        <is>
          <t>M4</t>
        </is>
      </c>
    </row>
    <row r="176" ht="26" customHeight="1">
      <c r="A176" s="21" t="n"/>
      <c r="B176" s="21" t="n"/>
      <c r="C176" s="20" t="n"/>
      <c r="D176" s="8" t="inlineStr">
        <is>
          <t>Write up the findings and the decision</t>
        </is>
      </c>
      <c r="E176" s="18" t="n">
        <v>8</v>
      </c>
      <c r="F176" s="19">
        <f>E176*F$2</f>
        <v/>
      </c>
      <c r="G176" s="19">
        <f>SUM(E176:F176)*G$2</f>
        <v/>
      </c>
      <c r="H176" s="19">
        <f>G176*H$2</f>
        <v/>
      </c>
      <c r="I176" s="19">
        <f>G176*I$2</f>
        <v/>
      </c>
      <c r="J176" s="19">
        <f>SUM(G176:I176)</f>
        <v/>
      </c>
      <c r="K176" s="19">
        <f>J176/8</f>
        <v/>
      </c>
      <c r="L176" t="inlineStr">
        <is>
          <t>ASWD-7</t>
        </is>
      </c>
      <c r="M176" t="inlineStr">
        <is>
          <t>F2</t>
        </is>
      </c>
      <c r="N176" t="inlineStr">
        <is>
          <t>M4</t>
        </is>
      </c>
    </row>
    <row r="177" ht="26" customHeight="1">
      <c r="A177" s="20" t="n"/>
      <c r="B177" s="20" t="n"/>
      <c r="C177" s="17" t="inlineStr">
        <is>
          <t>Prevent reuse of the last three passwords (GID-255020) — the rule is coded but can never fire until real accounts exist (F1, defect DF7)</t>
        </is>
      </c>
      <c r="D177" s="8" t="inlineStr">
        <is>
          <t>Prevent reuse of the last three passwords (GID-255020) — the rule is coded but can never fire until real accounts exist (F1, defect DF7)</t>
        </is>
      </c>
      <c r="E177" s="18" t="n">
        <v>8</v>
      </c>
      <c r="F177" s="19">
        <f>E177*F$2</f>
        <v/>
      </c>
      <c r="G177" s="19">
        <f>SUM(E177:F177)*G$2</f>
        <v/>
      </c>
      <c r="H177" s="19">
        <f>G177*H$2</f>
        <v/>
      </c>
      <c r="I177" s="19">
        <f>G177*I$2</f>
        <v/>
      </c>
      <c r="J177" s="19">
        <f>SUM(G177:I177)</f>
        <v/>
      </c>
      <c r="K177" s="19">
        <f>J177/8</f>
        <v/>
      </c>
      <c r="L177" t="inlineStr">
        <is>
          <t>ASWD-7</t>
        </is>
      </c>
      <c r="M177" t="inlineStr">
        <is>
          <t>F2</t>
        </is>
      </c>
      <c r="N177" t="inlineStr">
        <is>
          <t>M4</t>
        </is>
      </c>
    </row>
    <row r="178" ht="26" customHeight="1">
      <c r="A178" s="16" t="inlineStr">
        <is>
          <t>ASWD-8</t>
        </is>
      </c>
      <c r="B178" s="17" t="inlineStr">
        <is>
          <t>F1 - Create, view, edit and delete permission profiles</t>
        </is>
      </c>
      <c r="C178" s="17" t="inlineStr">
        <is>
          <t>Create the Profiles table with its permission fields</t>
        </is>
      </c>
      <c r="D178" s="8" t="inlineStr">
        <is>
          <t>Profile entity and EF Core configuration</t>
        </is>
      </c>
      <c r="E178" s="18" t="n">
        <v>7</v>
      </c>
      <c r="F178" s="19">
        <f>E178*F$2</f>
        <v/>
      </c>
      <c r="G178" s="19">
        <f>SUM(E178:F178)*G$2</f>
        <v/>
      </c>
      <c r="H178" s="19">
        <f>G178*H$2</f>
        <v/>
      </c>
      <c r="I178" s="19">
        <f>G178*I$2</f>
        <v/>
      </c>
      <c r="J178" s="19">
        <f>SUM(G178:I178)</f>
        <v/>
      </c>
      <c r="K178" s="19">
        <f>J178/8</f>
        <v/>
      </c>
      <c r="L178" t="inlineStr">
        <is>
          <t>ASWD-8</t>
        </is>
      </c>
      <c r="M178" t="inlineStr">
        <is>
          <t>F1</t>
        </is>
      </c>
      <c r="N178" t="inlineStr">
        <is>
          <t>M4</t>
        </is>
      </c>
    </row>
    <row r="179" ht="26" customHeight="1">
      <c r="A179" s="21" t="n"/>
      <c r="B179" s="21" t="n"/>
      <c r="C179" s="21" t="n"/>
      <c r="D179" s="8" t="inlineStr">
        <is>
          <t>Migration and DbContext wiring</t>
        </is>
      </c>
      <c r="E179" s="18" t="n">
        <v>4</v>
      </c>
      <c r="F179" s="19">
        <f>E179*F$2</f>
        <v/>
      </c>
      <c r="G179" s="19">
        <f>SUM(E179:F179)*G$2</f>
        <v/>
      </c>
      <c r="H179" s="19">
        <f>G179*H$2</f>
        <v/>
      </c>
      <c r="I179" s="19">
        <f>G179*I$2</f>
        <v/>
      </c>
      <c r="J179" s="19">
        <f>SUM(G179:I179)</f>
        <v/>
      </c>
      <c r="K179" s="19">
        <f>J179/8</f>
        <v/>
      </c>
      <c r="L179" t="inlineStr">
        <is>
          <t>ASWD-8</t>
        </is>
      </c>
      <c r="M179" t="inlineStr">
        <is>
          <t>F1</t>
        </is>
      </c>
      <c r="N179" t="inlineStr">
        <is>
          <t>M4</t>
        </is>
      </c>
    </row>
    <row r="180" ht="26" customHeight="1">
      <c r="A180" s="21" t="n"/>
      <c r="B180" s="21" t="n"/>
      <c r="C180" s="20" t="n"/>
      <c r="D180" s="8" t="inlineStr">
        <is>
          <t>Repository and service methods</t>
        </is>
      </c>
      <c r="E180" s="18" t="n">
        <v>8</v>
      </c>
      <c r="F180" s="19">
        <f>E180*F$2</f>
        <v/>
      </c>
      <c r="G180" s="19">
        <f>SUM(E180:F180)*G$2</f>
        <v/>
      </c>
      <c r="H180" s="19">
        <f>G180*H$2</f>
        <v/>
      </c>
      <c r="I180" s="19">
        <f>G180*I$2</f>
        <v/>
      </c>
      <c r="J180" s="19">
        <f>SUM(G180:I180)</f>
        <v/>
      </c>
      <c r="K180" s="19">
        <f>J180/8</f>
        <v/>
      </c>
      <c r="L180" t="inlineStr">
        <is>
          <t>ASWD-8</t>
        </is>
      </c>
      <c r="M180" t="inlineStr">
        <is>
          <t>F1</t>
        </is>
      </c>
      <c r="N180" t="inlineStr">
        <is>
          <t>M4</t>
        </is>
      </c>
    </row>
    <row r="181" ht="26" customHeight="1">
      <c r="A181" s="21" t="n"/>
      <c r="B181" s="21" t="n"/>
      <c r="C181" s="17" t="inlineStr">
        <is>
          <t>View, create, edit and delete profiles, and show Name / Description / Permissions (GID-254913 to GID-254917)</t>
        </is>
      </c>
      <c r="D181" s="8" t="inlineStr">
        <is>
          <t>Core model and service</t>
        </is>
      </c>
      <c r="E181" s="18" t="n">
        <v>6</v>
      </c>
      <c r="F181" s="19">
        <f>E181*F$2</f>
        <v/>
      </c>
      <c r="G181" s="19">
        <f>SUM(E181:F181)*G$2</f>
        <v/>
      </c>
      <c r="H181" s="19">
        <f>G181*H$2</f>
        <v/>
      </c>
      <c r="I181" s="19">
        <f>G181*I$2</f>
        <v/>
      </c>
      <c r="J181" s="19">
        <f>SUM(G181:I181)</f>
        <v/>
      </c>
      <c r="K181" s="19">
        <f>J181/8</f>
        <v/>
      </c>
      <c r="L181" t="inlineStr">
        <is>
          <t>ASWD-8</t>
        </is>
      </c>
      <c r="M181" t="inlineStr">
        <is>
          <t>F1</t>
        </is>
      </c>
      <c r="N181" t="inlineStr">
        <is>
          <t>M4</t>
        </is>
      </c>
    </row>
    <row r="182" ht="26" customHeight="1">
      <c r="A182" s="21" t="n"/>
      <c r="B182" s="21" t="n"/>
      <c r="C182" s="21" t="n"/>
      <c r="D182" s="8" t="inlineStr">
        <is>
          <t>ViewModel, DTO and converters</t>
        </is>
      </c>
      <c r="E182" s="18" t="n">
        <v>6</v>
      </c>
      <c r="F182" s="19">
        <f>E182*F$2</f>
        <v/>
      </c>
      <c r="G182" s="19">
        <f>SUM(E182:F182)*G$2</f>
        <v/>
      </c>
      <c r="H182" s="19">
        <f>G182*H$2</f>
        <v/>
      </c>
      <c r="I182" s="19">
        <f>G182*I$2</f>
        <v/>
      </c>
      <c r="J182" s="19">
        <f>SUM(G182:I182)</f>
        <v/>
      </c>
      <c r="K182" s="19">
        <f>J182/8</f>
        <v/>
      </c>
      <c r="L182" t="inlineStr">
        <is>
          <t>ASWD-8</t>
        </is>
      </c>
      <c r="M182" t="inlineStr">
        <is>
          <t>F1</t>
        </is>
      </c>
      <c r="N182" t="inlineStr">
        <is>
          <t>M4</t>
        </is>
      </c>
    </row>
    <row r="183" ht="26" customHeight="1">
      <c r="A183" s="21" t="n"/>
      <c r="B183" s="21" t="n"/>
      <c r="C183" s="20" t="n"/>
      <c r="D183" s="8" t="inlineStr">
        <is>
          <t>Screen (XAML) and command wiring</t>
        </is>
      </c>
      <c r="E183" s="18" t="n">
        <v>7</v>
      </c>
      <c r="F183" s="19">
        <f>E183*F$2</f>
        <v/>
      </c>
      <c r="G183" s="19">
        <f>SUM(E183:F183)*G$2</f>
        <v/>
      </c>
      <c r="H183" s="19">
        <f>G183*H$2</f>
        <v/>
      </c>
      <c r="I183" s="19">
        <f>G183*I$2</f>
        <v/>
      </c>
      <c r="J183" s="19">
        <f>SUM(G183:I183)</f>
        <v/>
      </c>
      <c r="K183" s="19">
        <f>J183/8</f>
        <v/>
      </c>
      <c r="L183" t="inlineStr">
        <is>
          <t>ASWD-8</t>
        </is>
      </c>
      <c r="M183" t="inlineStr">
        <is>
          <t>F1</t>
        </is>
      </c>
      <c r="N183" t="inlineStr">
        <is>
          <t>M4</t>
        </is>
      </c>
    </row>
    <row r="184" ht="26" customHeight="1">
      <c r="A184" s="21" t="n"/>
      <c r="B184" s="21" t="n"/>
      <c r="C184" s="17" t="inlineStr">
        <is>
          <t>Wire this screen's Add/Edit/Delete and Save/Revert/Undo onto Epic 2 F2's shared framework, replacing any local copy</t>
        </is>
      </c>
      <c r="D184" s="8" t="inlineStr">
        <is>
          <t>Core model and service</t>
        </is>
      </c>
      <c r="E184" s="18" t="n">
        <v>3</v>
      </c>
      <c r="F184" s="19">
        <f>E184*F$2</f>
        <v/>
      </c>
      <c r="G184" s="19">
        <f>SUM(E184:F184)*G$2</f>
        <v/>
      </c>
      <c r="H184" s="19">
        <f>G184*H$2</f>
        <v/>
      </c>
      <c r="I184" s="19">
        <f>G184*I$2</f>
        <v/>
      </c>
      <c r="J184" s="19">
        <f>SUM(G184:I184)</f>
        <v/>
      </c>
      <c r="K184" s="19">
        <f>J184/8</f>
        <v/>
      </c>
      <c r="L184" t="inlineStr">
        <is>
          <t>ASWD-8</t>
        </is>
      </c>
      <c r="M184" t="inlineStr">
        <is>
          <t>F1</t>
        </is>
      </c>
      <c r="N184" t="inlineStr">
        <is>
          <t>M4</t>
        </is>
      </c>
    </row>
    <row r="185" ht="26" customHeight="1">
      <c r="A185" s="21" t="n"/>
      <c r="B185" s="21" t="n"/>
      <c r="C185" s="21" t="n"/>
      <c r="D185" s="8" t="inlineStr">
        <is>
          <t>ViewModel, DTO and converters</t>
        </is>
      </c>
      <c r="E185" s="18" t="n">
        <v>2</v>
      </c>
      <c r="F185" s="19">
        <f>E185*F$2</f>
        <v/>
      </c>
      <c r="G185" s="19">
        <f>SUM(E185:F185)*G$2</f>
        <v/>
      </c>
      <c r="H185" s="19">
        <f>G185*H$2</f>
        <v/>
      </c>
      <c r="I185" s="19">
        <f>G185*I$2</f>
        <v/>
      </c>
      <c r="J185" s="19">
        <f>SUM(G185:I185)</f>
        <v/>
      </c>
      <c r="K185" s="19">
        <f>J185/8</f>
        <v/>
      </c>
      <c r="L185" t="inlineStr">
        <is>
          <t>ASWD-8</t>
        </is>
      </c>
      <c r="M185" t="inlineStr">
        <is>
          <t>F1</t>
        </is>
      </c>
      <c r="N185" t="inlineStr">
        <is>
          <t>M4</t>
        </is>
      </c>
    </row>
    <row r="186" ht="26" customHeight="1">
      <c r="A186" s="21" t="n"/>
      <c r="B186" s="20" t="n"/>
      <c r="C186" s="20" t="n"/>
      <c r="D186" s="8" t="inlineStr">
        <is>
          <t>Screen (XAML) and command wiring</t>
        </is>
      </c>
      <c r="E186" s="18" t="n">
        <v>2</v>
      </c>
      <c r="F186" s="19">
        <f>E186*F$2</f>
        <v/>
      </c>
      <c r="G186" s="19">
        <f>SUM(E186:F186)*G$2</f>
        <v/>
      </c>
      <c r="H186" s="19">
        <f>G186*H$2</f>
        <v/>
      </c>
      <c r="I186" s="19">
        <f>G186*I$2</f>
        <v/>
      </c>
      <c r="J186" s="19">
        <f>SUM(G186:I186)</f>
        <v/>
      </c>
      <c r="K186" s="19">
        <f>J186/8</f>
        <v/>
      </c>
      <c r="L186" t="inlineStr">
        <is>
          <t>ASWD-8</t>
        </is>
      </c>
      <c r="M186" t="inlineStr">
        <is>
          <t>F1</t>
        </is>
      </c>
      <c r="N186" t="inlineStr">
        <is>
          <t>M4</t>
        </is>
      </c>
    </row>
    <row r="187" ht="26" customHeight="1">
      <c r="A187" s="21" t="n"/>
      <c r="B187" s="17" t="inlineStr">
        <is>
          <t>F2 - Set permissions per profile and retire the hardcoded roles</t>
        </is>
      </c>
      <c r="C187" s="17" t="inlineStr">
        <is>
          <t>Set permissions per profile on the profile screen (GID-254918)</t>
        </is>
      </c>
      <c r="D187" s="8" t="inlineStr">
        <is>
          <t>Core model and service</t>
        </is>
      </c>
      <c r="E187" s="18" t="n">
        <v>8</v>
      </c>
      <c r="F187" s="19">
        <f>E187*F$2</f>
        <v/>
      </c>
      <c r="G187" s="19">
        <f>SUM(E187:F187)*G$2</f>
        <v/>
      </c>
      <c r="H187" s="19">
        <f>G187*H$2</f>
        <v/>
      </c>
      <c r="I187" s="19">
        <f>G187*I$2</f>
        <v/>
      </c>
      <c r="J187" s="19">
        <f>SUM(G187:I187)</f>
        <v/>
      </c>
      <c r="K187" s="19">
        <f>J187/8</f>
        <v/>
      </c>
      <c r="L187" t="inlineStr">
        <is>
          <t>ASWD-8</t>
        </is>
      </c>
      <c r="M187" t="inlineStr">
        <is>
          <t>F2</t>
        </is>
      </c>
      <c r="N187" t="inlineStr">
        <is>
          <t>M4</t>
        </is>
      </c>
    </row>
    <row r="188" ht="26" customHeight="1">
      <c r="A188" s="21" t="n"/>
      <c r="B188" s="21" t="n"/>
      <c r="C188" s="21" t="n"/>
      <c r="D188" s="8" t="inlineStr">
        <is>
          <t>ViewModel, DTO and converters</t>
        </is>
      </c>
      <c r="E188" s="18" t="n">
        <v>6</v>
      </c>
      <c r="F188" s="19">
        <f>E188*F$2</f>
        <v/>
      </c>
      <c r="G188" s="19">
        <f>SUM(E188:F188)*G$2</f>
        <v/>
      </c>
      <c r="H188" s="19">
        <f>G188*H$2</f>
        <v/>
      </c>
      <c r="I188" s="19">
        <f>G188*I$2</f>
        <v/>
      </c>
      <c r="J188" s="19">
        <f>SUM(G188:I188)</f>
        <v/>
      </c>
      <c r="K188" s="19">
        <f>J188/8</f>
        <v/>
      </c>
      <c r="L188" t="inlineStr">
        <is>
          <t>ASWD-8</t>
        </is>
      </c>
      <c r="M188" t="inlineStr">
        <is>
          <t>F2</t>
        </is>
      </c>
      <c r="N188" t="inlineStr">
        <is>
          <t>M4</t>
        </is>
      </c>
    </row>
    <row r="189" ht="26" customHeight="1">
      <c r="A189" s="21" t="n"/>
      <c r="B189" s="21" t="n"/>
      <c r="C189" s="20" t="n"/>
      <c r="D189" s="8" t="inlineStr">
        <is>
          <t>Screen (XAML) and command wiring</t>
        </is>
      </c>
      <c r="E189" s="18" t="n">
        <v>4</v>
      </c>
      <c r="F189" s="19">
        <f>E189*F$2</f>
        <v/>
      </c>
      <c r="G189" s="19">
        <f>SUM(E189:F189)*G$2</f>
        <v/>
      </c>
      <c r="H189" s="19">
        <f>G189*H$2</f>
        <v/>
      </c>
      <c r="I189" s="19">
        <f>G189*I$2</f>
        <v/>
      </c>
      <c r="J189" s="19">
        <f>SUM(G189:I189)</f>
        <v/>
      </c>
      <c r="K189" s="19">
        <f>J189/8</f>
        <v/>
      </c>
      <c r="L189" t="inlineStr">
        <is>
          <t>ASWD-8</t>
        </is>
      </c>
      <c r="M189" t="inlineStr">
        <is>
          <t>F2</t>
        </is>
      </c>
      <c r="N189" t="inlineStr">
        <is>
          <t>M4</t>
        </is>
      </c>
    </row>
    <row r="190" ht="26" customHeight="1">
      <c r="A190" s="21" t="n"/>
      <c r="B190" s="21" t="n"/>
      <c r="C190" s="17" t="inlineStr">
        <is>
          <t>Retire the fixed presets in UserPermissionsViewModel and read permissions from the database</t>
        </is>
      </c>
      <c r="D190" s="8" t="inlineStr">
        <is>
          <t>Rule in the Core or Application layer</t>
        </is>
      </c>
      <c r="E190" s="18" t="n">
        <v>8</v>
      </c>
      <c r="F190" s="19">
        <f>E190*F$2</f>
        <v/>
      </c>
      <c r="G190" s="19">
        <f>SUM(E190:F190)*G$2</f>
        <v/>
      </c>
      <c r="H190" s="19">
        <f>G190*H$2</f>
        <v/>
      </c>
      <c r="I190" s="19">
        <f>G190*I$2</f>
        <v/>
      </c>
      <c r="J190" s="19">
        <f>SUM(G190:I190)</f>
        <v/>
      </c>
      <c r="K190" s="19">
        <f>J190/8</f>
        <v/>
      </c>
      <c r="L190" t="inlineStr">
        <is>
          <t>ASWD-8</t>
        </is>
      </c>
      <c r="M190" t="inlineStr">
        <is>
          <t>F2</t>
        </is>
      </c>
      <c r="N190" t="inlineStr">
        <is>
          <t>M4</t>
        </is>
      </c>
    </row>
    <row r="191" ht="26" customHeight="1">
      <c r="A191" s="21" t="n"/>
      <c r="B191" s="20" t="n"/>
      <c r="C191" s="20" t="n"/>
      <c r="D191" s="8" t="inlineStr">
        <is>
          <t>Apply at every call site and hide the blocked actions</t>
        </is>
      </c>
      <c r="E191" s="18" t="n">
        <v>6</v>
      </c>
      <c r="F191" s="19">
        <f>E191*F$2</f>
        <v/>
      </c>
      <c r="G191" s="19">
        <f>SUM(E191:F191)*G$2</f>
        <v/>
      </c>
      <c r="H191" s="19">
        <f>G191*H$2</f>
        <v/>
      </c>
      <c r="I191" s="19">
        <f>G191*I$2</f>
        <v/>
      </c>
      <c r="J191" s="19">
        <f>SUM(G191:I191)</f>
        <v/>
      </c>
      <c r="K191" s="19">
        <f>J191/8</f>
        <v/>
      </c>
      <c r="L191" t="inlineStr">
        <is>
          <t>ASWD-8</t>
        </is>
      </c>
      <c r="M191" t="inlineStr">
        <is>
          <t>F2</t>
        </is>
      </c>
      <c r="N191" t="inlineStr">
        <is>
          <t>M4</t>
        </is>
      </c>
    </row>
    <row r="192" ht="26" customHeight="1">
      <c r="A192" s="21" t="n"/>
      <c r="B192" s="17" t="inlineStr">
        <is>
          <t>F3 - Complete RBAC: one authorization mechanism, enforced everywhere</t>
        </is>
      </c>
      <c r="C192" s="17" t="inlineStr">
        <is>
          <t>Capture the 33 permission fields from Databases/SettingsDatabase.sql before that file is deleted, and write them down as the permission model</t>
        </is>
      </c>
      <c r="D192" s="8" t="inlineStr">
        <is>
          <t>Settings entity and storage</t>
        </is>
      </c>
      <c r="E192" s="18" t="n">
        <v>6</v>
      </c>
      <c r="F192" s="19">
        <f>E192*F$2</f>
        <v/>
      </c>
      <c r="G192" s="19">
        <f>SUM(E192:F192)*G$2</f>
        <v/>
      </c>
      <c r="H192" s="19">
        <f>G192*H$2</f>
        <v/>
      </c>
      <c r="I192" s="19">
        <f>G192*I$2</f>
        <v/>
      </c>
      <c r="J192" s="19">
        <f>SUM(G192:I192)</f>
        <v/>
      </c>
      <c r="K192" s="19">
        <f>J192/8</f>
        <v/>
      </c>
      <c r="L192" t="inlineStr">
        <is>
          <t>ASWD-8</t>
        </is>
      </c>
      <c r="M192" t="inlineStr">
        <is>
          <t>F3</t>
        </is>
      </c>
      <c r="N192" t="inlineStr">
        <is>
          <t>M4</t>
        </is>
      </c>
    </row>
    <row r="193" ht="26" customHeight="1">
      <c r="A193" s="21" t="n"/>
      <c r="B193" s="21" t="n"/>
      <c r="C193" s="21" t="n"/>
      <c r="D193" s="8" t="inlineStr">
        <is>
          <t>Configuration screen and validation</t>
        </is>
      </c>
      <c r="E193" s="18" t="n">
        <v>8</v>
      </c>
      <c r="F193" s="19">
        <f>E193*F$2</f>
        <v/>
      </c>
      <c r="G193" s="19">
        <f>SUM(E193:F193)*G$2</f>
        <v/>
      </c>
      <c r="H193" s="19">
        <f>G193*H$2</f>
        <v/>
      </c>
      <c r="I193" s="19">
        <f>G193*I$2</f>
        <v/>
      </c>
      <c r="J193" s="19">
        <f>SUM(G193:I193)</f>
        <v/>
      </c>
      <c r="K193" s="19">
        <f>J193/8</f>
        <v/>
      </c>
      <c r="L193" t="inlineStr">
        <is>
          <t>ASWD-8</t>
        </is>
      </c>
      <c r="M193" t="inlineStr">
        <is>
          <t>F3</t>
        </is>
      </c>
      <c r="N193" t="inlineStr">
        <is>
          <t>M4</t>
        </is>
      </c>
    </row>
    <row r="194" ht="26" customHeight="1">
      <c r="A194" s="21" t="n"/>
      <c r="B194" s="21" t="n"/>
      <c r="C194" s="20" t="n"/>
      <c r="D194" s="8" t="inlineStr">
        <is>
          <t>Apply the setting everywhere it is read</t>
        </is>
      </c>
      <c r="E194" s="18" t="n">
        <v>5</v>
      </c>
      <c r="F194" s="19">
        <f>E194*F$2</f>
        <v/>
      </c>
      <c r="G194" s="19">
        <f>SUM(E194:F194)*G$2</f>
        <v/>
      </c>
      <c r="H194" s="19">
        <f>G194*H$2</f>
        <v/>
      </c>
      <c r="I194" s="19">
        <f>G194*I$2</f>
        <v/>
      </c>
      <c r="J194" s="19">
        <f>SUM(G194:I194)</f>
        <v/>
      </c>
      <c r="K194" s="19">
        <f>J194/8</f>
        <v/>
      </c>
      <c r="L194" t="inlineStr">
        <is>
          <t>ASWD-8</t>
        </is>
      </c>
      <c r="M194" t="inlineStr">
        <is>
          <t>F3</t>
        </is>
      </c>
      <c r="N194" t="inlineStr">
        <is>
          <t>M4</t>
        </is>
      </c>
    </row>
    <row r="195" ht="26" customHeight="1">
      <c r="A195" s="21" t="n"/>
      <c r="B195" s="21" t="n"/>
      <c r="C195" s="17" t="inlineStr">
        <is>
          <t>One authorization service in Core: who is signed in, their effective permissions, and a single Can(permission) check that everything calls</t>
        </is>
      </c>
      <c r="D195" s="8" t="inlineStr">
        <is>
          <t>One authorization service in Core: who is signed in, their effective permissions, and a single Can(permission) check that everything calls</t>
        </is>
      </c>
      <c r="E195" s="18" t="n">
        <v>8</v>
      </c>
      <c r="F195" s="19">
        <f>E195*F$2</f>
        <v/>
      </c>
      <c r="G195" s="19">
        <f>SUM(E195:F195)*G$2</f>
        <v/>
      </c>
      <c r="H195" s="19">
        <f>G195*H$2</f>
        <v/>
      </c>
      <c r="I195" s="19">
        <f>G195*I$2</f>
        <v/>
      </c>
      <c r="J195" s="19">
        <f>SUM(G195:I195)</f>
        <v/>
      </c>
      <c r="K195" s="19">
        <f>J195/8</f>
        <v/>
      </c>
      <c r="L195" t="inlineStr">
        <is>
          <t>ASWD-8</t>
        </is>
      </c>
      <c r="M195" t="inlineStr">
        <is>
          <t>F3</t>
        </is>
      </c>
      <c r="N195" t="inlineStr">
        <is>
          <t>M4</t>
        </is>
      </c>
    </row>
    <row r="196" ht="26" customHeight="1">
      <c r="A196" s="21" t="n"/>
      <c r="B196" s="21" t="n"/>
      <c r="C196" s="17" t="inlineStr">
        <is>
          <t>Enforce in the UI — every command’s CanExecute, and a blocked action hidden rather than merely greyed out</t>
        </is>
      </c>
      <c r="D196" s="8" t="inlineStr">
        <is>
          <t>Rule in the Core or Application layer</t>
        </is>
      </c>
      <c r="E196" s="18" t="n">
        <v>6</v>
      </c>
      <c r="F196" s="19">
        <f>E196*F$2</f>
        <v/>
      </c>
      <c r="G196" s="19">
        <f>SUM(E196:F196)*G$2</f>
        <v/>
      </c>
      <c r="H196" s="19">
        <f>G196*H$2</f>
        <v/>
      </c>
      <c r="I196" s="19">
        <f>G196*I$2</f>
        <v/>
      </c>
      <c r="J196" s="19">
        <f>SUM(G196:I196)</f>
        <v/>
      </c>
      <c r="K196" s="19">
        <f>J196/8</f>
        <v/>
      </c>
      <c r="L196" t="inlineStr">
        <is>
          <t>ASWD-8</t>
        </is>
      </c>
      <c r="M196" t="inlineStr">
        <is>
          <t>F3</t>
        </is>
      </c>
      <c r="N196" t="inlineStr">
        <is>
          <t>M4</t>
        </is>
      </c>
    </row>
    <row r="197" ht="26" customHeight="1">
      <c r="A197" s="21" t="n"/>
      <c r="B197" s="21" t="n"/>
      <c r="C197" s="20" t="n"/>
      <c r="D197" s="8" t="inlineStr">
        <is>
          <t>Apply at every call site and hide the blocked actions</t>
        </is>
      </c>
      <c r="E197" s="18" t="n">
        <v>5</v>
      </c>
      <c r="F197" s="19">
        <f>E197*F$2</f>
        <v/>
      </c>
      <c r="G197" s="19">
        <f>SUM(E197:F197)*G$2</f>
        <v/>
      </c>
      <c r="H197" s="19">
        <f>G197*H$2</f>
        <v/>
      </c>
      <c r="I197" s="19">
        <f>G197*I$2</f>
        <v/>
      </c>
      <c r="J197" s="19">
        <f>SUM(G197:I197)</f>
        <v/>
      </c>
      <c r="K197" s="19">
        <f>J197/8</f>
        <v/>
      </c>
      <c r="L197" t="inlineStr">
        <is>
          <t>ASWD-8</t>
        </is>
      </c>
      <c r="M197" t="inlineStr">
        <is>
          <t>F3</t>
        </is>
      </c>
      <c r="N197" t="inlineStr">
        <is>
          <t>M4</t>
        </is>
      </c>
    </row>
    <row r="198" ht="26" customHeight="1">
      <c r="A198" s="21" t="n"/>
      <c r="B198" s="21" t="n"/>
      <c r="C198" s="17" t="inlineStr">
        <is>
          <t>Enforce again in the Application layer, so going around a screen does not go around the rule</t>
        </is>
      </c>
      <c r="D198" s="8" t="inlineStr">
        <is>
          <t>Rule in the Core or Application layer</t>
        </is>
      </c>
      <c r="E198" s="18" t="n">
        <v>4</v>
      </c>
      <c r="F198" s="19">
        <f>E198*F$2</f>
        <v/>
      </c>
      <c r="G198" s="19">
        <f>SUM(E198:F198)*G$2</f>
        <v/>
      </c>
      <c r="H198" s="19">
        <f>G198*H$2</f>
        <v/>
      </c>
      <c r="I198" s="19">
        <f>G198*I$2</f>
        <v/>
      </c>
      <c r="J198" s="19">
        <f>SUM(G198:I198)</f>
        <v/>
      </c>
      <c r="K198" s="19">
        <f>J198/8</f>
        <v/>
      </c>
      <c r="L198" t="inlineStr">
        <is>
          <t>ASWD-8</t>
        </is>
      </c>
      <c r="M198" t="inlineStr">
        <is>
          <t>F3</t>
        </is>
      </c>
      <c r="N198" t="inlineStr">
        <is>
          <t>M4</t>
        </is>
      </c>
    </row>
    <row r="199" ht="26" customHeight="1">
      <c r="A199" s="21" t="n"/>
      <c r="B199" s="21" t="n"/>
      <c r="C199" s="20" t="n"/>
      <c r="D199" s="8" t="inlineStr">
        <is>
          <t>Apply at every call site and hide the blocked actions</t>
        </is>
      </c>
      <c r="E199" s="18" t="n">
        <v>4</v>
      </c>
      <c r="F199" s="19">
        <f>E199*F$2</f>
        <v/>
      </c>
      <c r="G199" s="19">
        <f>SUM(E199:F199)*G$2</f>
        <v/>
      </c>
      <c r="H199" s="19">
        <f>G199*H$2</f>
        <v/>
      </c>
      <c r="I199" s="19">
        <f>G199*I$2</f>
        <v/>
      </c>
      <c r="J199" s="19">
        <f>SUM(G199:I199)</f>
        <v/>
      </c>
      <c r="K199" s="19">
        <f>J199/8</f>
        <v/>
      </c>
      <c r="L199" t="inlineStr">
        <is>
          <t>ASWD-8</t>
        </is>
      </c>
      <c r="M199" t="inlineStr">
        <is>
          <t>F3</t>
        </is>
      </c>
      <c r="N199" t="inlineStr">
        <is>
          <t>M4</t>
        </is>
      </c>
    </row>
    <row r="200" ht="26" customHeight="1">
      <c r="A200" s="21" t="n"/>
      <c r="B200" s="21" t="n"/>
      <c r="C200" s="17" t="inlineStr">
        <is>
          <t>Re-evaluate a signed-in user’s permissions when their profile changes, without a restart</t>
        </is>
      </c>
      <c r="D200" s="8" t="inlineStr">
        <is>
          <t>Re-evaluate a signed-in user’s permissions when their profile changes, without a restart</t>
        </is>
      </c>
      <c r="E200" s="18" t="n">
        <v>6</v>
      </c>
      <c r="F200" s="19">
        <f>E200*F$2</f>
        <v/>
      </c>
      <c r="G200" s="19">
        <f>SUM(E200:F200)*G$2</f>
        <v/>
      </c>
      <c r="H200" s="19">
        <f>G200*H$2</f>
        <v/>
      </c>
      <c r="I200" s="19">
        <f>G200*I$2</f>
        <v/>
      </c>
      <c r="J200" s="19">
        <f>SUM(G200:I200)</f>
        <v/>
      </c>
      <c r="K200" s="19">
        <f>J200/8</f>
        <v/>
      </c>
      <c r="L200" t="inlineStr">
        <is>
          <t>ASWD-8</t>
        </is>
      </c>
      <c r="M200" t="inlineStr">
        <is>
          <t>F3</t>
        </is>
      </c>
      <c r="N200" t="inlineStr">
        <is>
          <t>M4</t>
        </is>
      </c>
    </row>
    <row r="201" ht="26" customHeight="1">
      <c r="A201" s="21" t="n"/>
      <c r="B201" s="21" t="n"/>
      <c r="C201" s="17" t="inlineStr">
        <is>
          <t>Every denied action is logged and audited</t>
        </is>
      </c>
      <c r="D201" s="8" t="inlineStr">
        <is>
          <t>Call sites across the affected screens and services</t>
        </is>
      </c>
      <c r="E201" s="18" t="n">
        <v>7</v>
      </c>
      <c r="F201" s="19">
        <f>E201*F$2</f>
        <v/>
      </c>
      <c r="G201" s="19">
        <f>SUM(E201:F201)*G$2</f>
        <v/>
      </c>
      <c r="H201" s="19">
        <f>G201*H$2</f>
        <v/>
      </c>
      <c r="I201" s="19">
        <f>G201*I$2</f>
        <v/>
      </c>
      <c r="J201" s="19">
        <f>SUM(G201:I201)</f>
        <v/>
      </c>
      <c r="K201" s="19">
        <f>J201/8</f>
        <v/>
      </c>
      <c r="L201" t="inlineStr">
        <is>
          <t>ASWD-8</t>
        </is>
      </c>
      <c r="M201" t="inlineStr">
        <is>
          <t>F3</t>
        </is>
      </c>
      <c r="N201" t="inlineStr">
        <is>
          <t>M4</t>
        </is>
      </c>
    </row>
    <row r="202" ht="26" customHeight="1">
      <c r="A202" s="21" t="n"/>
      <c r="B202" s="21" t="n"/>
      <c r="C202" s="17" t="inlineStr">
        <is>
          <t>The permission matrix: 33 permissions × every gated action, written down as both the specification and the test oracle</t>
        </is>
      </c>
      <c r="D202" s="8" t="inlineStr">
        <is>
          <t>The permission matrix: 33 permissions × every gated action, written down as both the specification and the test oracle</t>
        </is>
      </c>
      <c r="E202" s="18" t="n">
        <v>7</v>
      </c>
      <c r="F202" s="19">
        <f>E202*F$2</f>
        <v/>
      </c>
      <c r="G202" s="19">
        <f>SUM(E202:F202)*G$2</f>
        <v/>
      </c>
      <c r="H202" s="19">
        <f>G202*H$2</f>
        <v/>
      </c>
      <c r="I202" s="19">
        <f>G202*I$2</f>
        <v/>
      </c>
      <c r="J202" s="19">
        <f>SUM(G202:I202)</f>
        <v/>
      </c>
      <c r="K202" s="19">
        <f>J202/8</f>
        <v/>
      </c>
      <c r="L202" t="inlineStr">
        <is>
          <t>ASWD-8</t>
        </is>
      </c>
      <c r="M202" t="inlineStr">
        <is>
          <t>F3</t>
        </is>
      </c>
      <c r="N202" t="inlineStr">
        <is>
          <t>M4</t>
        </is>
      </c>
    </row>
    <row r="203" ht="26" customHeight="1">
      <c r="A203" s="20" t="n"/>
      <c r="B203" s="20" t="n"/>
      <c r="C203" s="17" t="inlineStr">
        <is>
          <t>Tests proving each permission gates its action at both layers, and that patient delete stays available to every user per the 22 Aug decision</t>
        </is>
      </c>
      <c r="D203" s="8" t="inlineStr">
        <is>
          <t>Tests proving each permission gates its action at both layers, and that patient delete stays available to every user per the 22 Aug decision</t>
        </is>
      </c>
      <c r="E203" s="18" t="n">
        <v>7</v>
      </c>
      <c r="F203" s="19">
        <f>E203*F$2</f>
        <v/>
      </c>
      <c r="G203" s="19">
        <f>SUM(E203:F203)*G$2</f>
        <v/>
      </c>
      <c r="H203" s="19">
        <f>G203*H$2</f>
        <v/>
      </c>
      <c r="I203" s="19">
        <f>G203*I$2</f>
        <v/>
      </c>
      <c r="J203" s="19">
        <f>SUM(G203:I203)</f>
        <v/>
      </c>
      <c r="K203" s="19">
        <f>J203/8</f>
        <v/>
      </c>
      <c r="L203" t="inlineStr">
        <is>
          <t>ASWD-8</t>
        </is>
      </c>
      <c r="M203" t="inlineStr">
        <is>
          <t>F3</t>
        </is>
      </c>
      <c r="N203" t="inlineStr">
        <is>
          <t>M4</t>
        </is>
      </c>
    </row>
    <row r="204" ht="26" customHeight="1">
      <c r="A204" s="16" t="inlineStr">
        <is>
          <t>ASWD-9</t>
        </is>
      </c>
      <c r="B204" s="17" t="inlineStr">
        <is>
          <t>F1 - Create, view, edit and delete screening devices</t>
        </is>
      </c>
      <c r="C204" s="17" t="inlineStr">
        <is>
          <t>Create Devices and related tables</t>
        </is>
      </c>
      <c r="D204" s="8" t="inlineStr">
        <is>
          <t>Device entity and EF Core configuration</t>
        </is>
      </c>
      <c r="E204" s="18" t="n">
        <v>6</v>
      </c>
      <c r="F204" s="19">
        <f>E204*F$2</f>
        <v/>
      </c>
      <c r="G204" s="19">
        <f>SUM(E204:F204)*G$2</f>
        <v/>
      </c>
      <c r="H204" s="19">
        <f>G204*H$2</f>
        <v/>
      </c>
      <c r="I204" s="19">
        <f>G204*I$2</f>
        <v/>
      </c>
      <c r="J204" s="19">
        <f>SUM(G204:I204)</f>
        <v/>
      </c>
      <c r="K204" s="19">
        <f>J204/8</f>
        <v/>
      </c>
      <c r="L204" t="inlineStr">
        <is>
          <t>ASWD-9</t>
        </is>
      </c>
      <c r="M204" t="inlineStr">
        <is>
          <t>F1</t>
        </is>
      </c>
      <c r="N204" t="inlineStr">
        <is>
          <t>M4</t>
        </is>
      </c>
    </row>
    <row r="205" ht="26" customHeight="1">
      <c r="A205" s="21" t="n"/>
      <c r="B205" s="21" t="n"/>
      <c r="C205" s="21" t="n"/>
      <c r="D205" s="8" t="inlineStr">
        <is>
          <t>Migration and DbContext wiring</t>
        </is>
      </c>
      <c r="E205" s="18" t="n">
        <v>4</v>
      </c>
      <c r="F205" s="19">
        <f>E205*F$2</f>
        <v/>
      </c>
      <c r="G205" s="19">
        <f>SUM(E205:F205)*G$2</f>
        <v/>
      </c>
      <c r="H205" s="19">
        <f>G205*H$2</f>
        <v/>
      </c>
      <c r="I205" s="19">
        <f>G205*I$2</f>
        <v/>
      </c>
      <c r="J205" s="19">
        <f>SUM(G205:I205)</f>
        <v/>
      </c>
      <c r="K205" s="19">
        <f>J205/8</f>
        <v/>
      </c>
      <c r="L205" t="inlineStr">
        <is>
          <t>ASWD-9</t>
        </is>
      </c>
      <c r="M205" t="inlineStr">
        <is>
          <t>F1</t>
        </is>
      </c>
      <c r="N205" t="inlineStr">
        <is>
          <t>M4</t>
        </is>
      </c>
    </row>
    <row r="206" ht="26" customHeight="1">
      <c r="A206" s="21" t="n"/>
      <c r="B206" s="21" t="n"/>
      <c r="C206" s="20" t="n"/>
      <c r="D206" s="8" t="inlineStr">
        <is>
          <t>Repository and service methods</t>
        </is>
      </c>
      <c r="E206" s="18" t="n">
        <v>7</v>
      </c>
      <c r="F206" s="19">
        <f>E206*F$2</f>
        <v/>
      </c>
      <c r="G206" s="19">
        <f>SUM(E206:F206)*G$2</f>
        <v/>
      </c>
      <c r="H206" s="19">
        <f>G206*H$2</f>
        <v/>
      </c>
      <c r="I206" s="19">
        <f>G206*I$2</f>
        <v/>
      </c>
      <c r="J206" s="19">
        <f>SUM(G206:I206)</f>
        <v/>
      </c>
      <c r="K206" s="19">
        <f>J206/8</f>
        <v/>
      </c>
      <c r="L206" t="inlineStr">
        <is>
          <t>ASWD-9</t>
        </is>
      </c>
      <c r="M206" t="inlineStr">
        <is>
          <t>F1</t>
        </is>
      </c>
      <c r="N206" t="inlineStr">
        <is>
          <t>M4</t>
        </is>
      </c>
    </row>
    <row r="207" ht="26" customHeight="1">
      <c r="A207" s="21" t="n"/>
      <c r="B207" s="21" t="n"/>
      <c r="C207" s="17" t="inlineStr">
        <is>
          <t>View the device list with Name / Serial / Last Seen</t>
        </is>
      </c>
      <c r="D207" s="8" t="inlineStr">
        <is>
          <t>Core model and service</t>
        </is>
      </c>
      <c r="E207" s="18" t="n">
        <v>5</v>
      </c>
      <c r="F207" s="19">
        <f>E207*F$2</f>
        <v/>
      </c>
      <c r="G207" s="19">
        <f>SUM(E207:F207)*G$2</f>
        <v/>
      </c>
      <c r="H207" s="19">
        <f>G207*H$2</f>
        <v/>
      </c>
      <c r="I207" s="19">
        <f>G207*I$2</f>
        <v/>
      </c>
      <c r="J207" s="19">
        <f>SUM(G207:I207)</f>
        <v/>
      </c>
      <c r="K207" s="19">
        <f>J207/8</f>
        <v/>
      </c>
      <c r="L207" t="inlineStr">
        <is>
          <t>ASWD-9</t>
        </is>
      </c>
      <c r="M207" t="inlineStr">
        <is>
          <t>F1</t>
        </is>
      </c>
      <c r="N207" t="inlineStr">
        <is>
          <t>M4</t>
        </is>
      </c>
    </row>
    <row r="208" ht="26" customHeight="1">
      <c r="A208" s="21" t="n"/>
      <c r="B208" s="21" t="n"/>
      <c r="C208" s="21" t="n"/>
      <c r="D208" s="8" t="inlineStr">
        <is>
          <t>ViewModel, DTO and converters</t>
        </is>
      </c>
      <c r="E208" s="18" t="n">
        <v>5</v>
      </c>
      <c r="F208" s="19">
        <f>E208*F$2</f>
        <v/>
      </c>
      <c r="G208" s="19">
        <f>SUM(E208:F208)*G$2</f>
        <v/>
      </c>
      <c r="H208" s="19">
        <f>G208*H$2</f>
        <v/>
      </c>
      <c r="I208" s="19">
        <f>G208*I$2</f>
        <v/>
      </c>
      <c r="J208" s="19">
        <f>SUM(G208:I208)</f>
        <v/>
      </c>
      <c r="K208" s="19">
        <f>J208/8</f>
        <v/>
      </c>
      <c r="L208" t="inlineStr">
        <is>
          <t>ASWD-9</t>
        </is>
      </c>
      <c r="M208" t="inlineStr">
        <is>
          <t>F1</t>
        </is>
      </c>
      <c r="N208" t="inlineStr">
        <is>
          <t>M4</t>
        </is>
      </c>
    </row>
    <row r="209" ht="26" customHeight="1">
      <c r="A209" s="21" t="n"/>
      <c r="B209" s="21" t="n"/>
      <c r="C209" s="20" t="n"/>
      <c r="D209" s="8" t="inlineStr">
        <is>
          <t>Screen (XAML) and command wiring</t>
        </is>
      </c>
      <c r="E209" s="18" t="n">
        <v>7</v>
      </c>
      <c r="F209" s="19">
        <f>E209*F$2</f>
        <v/>
      </c>
      <c r="G209" s="19">
        <f>SUM(E209:F209)*G$2</f>
        <v/>
      </c>
      <c r="H209" s="19">
        <f>G209*H$2</f>
        <v/>
      </c>
      <c r="I209" s="19">
        <f>G209*I$2</f>
        <v/>
      </c>
      <c r="J209" s="19">
        <f>SUM(G209:I209)</f>
        <v/>
      </c>
      <c r="K209" s="19">
        <f>J209/8</f>
        <v/>
      </c>
      <c r="L209" t="inlineStr">
        <is>
          <t>ASWD-9</t>
        </is>
      </c>
      <c r="M209" t="inlineStr">
        <is>
          <t>F1</t>
        </is>
      </c>
      <c r="N209" t="inlineStr">
        <is>
          <t>M4</t>
        </is>
      </c>
    </row>
    <row r="210" ht="26" customHeight="1">
      <c r="A210" s="21" t="n"/>
      <c r="B210" s="21" t="n"/>
      <c r="C210" s="17" t="inlineStr">
        <is>
          <t>Add, edit and delete a device (GID-254919 to GID-254922)</t>
        </is>
      </c>
      <c r="D210" s="8" t="inlineStr">
        <is>
          <t>Core model and service</t>
        </is>
      </c>
      <c r="E210" s="18" t="n">
        <v>2</v>
      </c>
      <c r="F210" s="19">
        <f>E210*F$2</f>
        <v/>
      </c>
      <c r="G210" s="19">
        <f>SUM(E210:F210)*G$2</f>
        <v/>
      </c>
      <c r="H210" s="19">
        <f>G210*H$2</f>
        <v/>
      </c>
      <c r="I210" s="19">
        <f>G210*I$2</f>
        <v/>
      </c>
      <c r="J210" s="19">
        <f>SUM(G210:I210)</f>
        <v/>
      </c>
      <c r="K210" s="19">
        <f>J210/8</f>
        <v/>
      </c>
      <c r="L210" t="inlineStr">
        <is>
          <t>ASWD-9</t>
        </is>
      </c>
      <c r="M210" t="inlineStr">
        <is>
          <t>F1</t>
        </is>
      </c>
      <c r="N210" t="inlineStr">
        <is>
          <t>M4</t>
        </is>
      </c>
    </row>
    <row r="211" ht="26" customHeight="1">
      <c r="A211" s="21" t="n"/>
      <c r="B211" s="21" t="n"/>
      <c r="C211" s="21" t="n"/>
      <c r="D211" s="8" t="inlineStr">
        <is>
          <t>ViewModel, DTO and converters</t>
        </is>
      </c>
      <c r="E211" s="18" t="n">
        <v>2</v>
      </c>
      <c r="F211" s="19">
        <f>E211*F$2</f>
        <v/>
      </c>
      <c r="G211" s="19">
        <f>SUM(E211:F211)*G$2</f>
        <v/>
      </c>
      <c r="H211" s="19">
        <f>G211*H$2</f>
        <v/>
      </c>
      <c r="I211" s="19">
        <f>G211*I$2</f>
        <v/>
      </c>
      <c r="J211" s="19">
        <f>SUM(G211:I211)</f>
        <v/>
      </c>
      <c r="K211" s="19">
        <f>J211/8</f>
        <v/>
      </c>
      <c r="L211" t="inlineStr">
        <is>
          <t>ASWD-9</t>
        </is>
      </c>
      <c r="M211" t="inlineStr">
        <is>
          <t>F1</t>
        </is>
      </c>
      <c r="N211" t="inlineStr">
        <is>
          <t>M4</t>
        </is>
      </c>
    </row>
    <row r="212" ht="26" customHeight="1">
      <c r="A212" s="21" t="n"/>
      <c r="B212" s="21" t="n"/>
      <c r="C212" s="20" t="n"/>
      <c r="D212" s="8" t="inlineStr">
        <is>
          <t>Screen (XAML) and command wiring</t>
        </is>
      </c>
      <c r="E212" s="18" t="n">
        <v>2</v>
      </c>
      <c r="F212" s="19">
        <f>E212*F$2</f>
        <v/>
      </c>
      <c r="G212" s="19">
        <f>SUM(E212:F212)*G$2</f>
        <v/>
      </c>
      <c r="H212" s="19">
        <f>G212*H$2</f>
        <v/>
      </c>
      <c r="I212" s="19">
        <f>G212*I$2</f>
        <v/>
      </c>
      <c r="J212" s="19">
        <f>SUM(G212:I212)</f>
        <v/>
      </c>
      <c r="K212" s="19">
        <f>J212/8</f>
        <v/>
      </c>
      <c r="L212" t="inlineStr">
        <is>
          <t>ASWD-9</t>
        </is>
      </c>
      <c r="M212" t="inlineStr">
        <is>
          <t>F1</t>
        </is>
      </c>
      <c r="N212" t="inlineStr">
        <is>
          <t>M4</t>
        </is>
      </c>
    </row>
    <row r="213" ht="26" customHeight="1">
      <c r="A213" s="21" t="n"/>
      <c r="B213" s="21" t="n"/>
      <c r="C213" s="17" t="inlineStr">
        <is>
          <t>Wire this screen's Add/Edit/Delete and Save/Revert/Undo onto Epic 2 F2's shared framework, replacing any local copy</t>
        </is>
      </c>
      <c r="D213" s="8" t="inlineStr">
        <is>
          <t>Core model and service</t>
        </is>
      </c>
      <c r="E213" s="18" t="n">
        <v>2</v>
      </c>
      <c r="F213" s="19">
        <f>E213*F$2</f>
        <v/>
      </c>
      <c r="G213" s="19">
        <f>SUM(E213:F213)*G$2</f>
        <v/>
      </c>
      <c r="H213" s="19">
        <f>G213*H$2</f>
        <v/>
      </c>
      <c r="I213" s="19">
        <f>G213*I$2</f>
        <v/>
      </c>
      <c r="J213" s="19">
        <f>SUM(G213:I213)</f>
        <v/>
      </c>
      <c r="K213" s="19">
        <f>J213/8</f>
        <v/>
      </c>
      <c r="L213" t="inlineStr">
        <is>
          <t>ASWD-9</t>
        </is>
      </c>
      <c r="M213" t="inlineStr">
        <is>
          <t>F1</t>
        </is>
      </c>
      <c r="N213" t="inlineStr">
        <is>
          <t>M4</t>
        </is>
      </c>
    </row>
    <row r="214" ht="26" customHeight="1">
      <c r="A214" s="21" t="n"/>
      <c r="B214" s="21" t="n"/>
      <c r="C214" s="21" t="n"/>
      <c r="D214" s="8" t="inlineStr">
        <is>
          <t>ViewModel, DTO and converters</t>
        </is>
      </c>
      <c r="E214" s="18" t="n">
        <v>2</v>
      </c>
      <c r="F214" s="19">
        <f>E214*F$2</f>
        <v/>
      </c>
      <c r="G214" s="19">
        <f>SUM(E214:F214)*G$2</f>
        <v/>
      </c>
      <c r="H214" s="19">
        <f>G214*H$2</f>
        <v/>
      </c>
      <c r="I214" s="19">
        <f>G214*I$2</f>
        <v/>
      </c>
      <c r="J214" s="19">
        <f>SUM(G214:I214)</f>
        <v/>
      </c>
      <c r="K214" s="19">
        <f>J214/8</f>
        <v/>
      </c>
      <c r="L214" t="inlineStr">
        <is>
          <t>ASWD-9</t>
        </is>
      </c>
      <c r="M214" t="inlineStr">
        <is>
          <t>F1</t>
        </is>
      </c>
      <c r="N214" t="inlineStr">
        <is>
          <t>M4</t>
        </is>
      </c>
    </row>
    <row r="215" ht="26" customHeight="1">
      <c r="A215" s="21" t="n"/>
      <c r="B215" s="20" t="n"/>
      <c r="C215" s="20" t="n"/>
      <c r="D215" s="8" t="inlineStr">
        <is>
          <t>Screen (XAML) and command wiring</t>
        </is>
      </c>
      <c r="E215" s="18" t="n">
        <v>2</v>
      </c>
      <c r="F215" s="19">
        <f>E215*F$2</f>
        <v/>
      </c>
      <c r="G215" s="19">
        <f>SUM(E215:F215)*G$2</f>
        <v/>
      </c>
      <c r="H215" s="19">
        <f>G215*H$2</f>
        <v/>
      </c>
      <c r="I215" s="19">
        <f>G215*I$2</f>
        <v/>
      </c>
      <c r="J215" s="19">
        <f>SUM(G215:I215)</f>
        <v/>
      </c>
      <c r="K215" s="19">
        <f>J215/8</f>
        <v/>
      </c>
      <c r="L215" t="inlineStr">
        <is>
          <t>ASWD-9</t>
        </is>
      </c>
      <c r="M215" t="inlineStr">
        <is>
          <t>F1</t>
        </is>
      </c>
      <c r="N215" t="inlineStr">
        <is>
          <t>M4</t>
        </is>
      </c>
    </row>
    <row r="216" ht="26" customHeight="1">
      <c r="A216" s="21" t="n"/>
      <c r="B216" s="17" t="inlineStr">
        <is>
          <t>F2 - Assign users and facilities to a device</t>
        </is>
      </c>
      <c r="C216" s="17" t="inlineStr">
        <is>
          <t>GID-254923</t>
        </is>
      </c>
      <c r="D216" s="8" t="inlineStr">
        <is>
          <t>Core model and service</t>
        </is>
      </c>
      <c r="E216" s="18" t="n">
        <v>6</v>
      </c>
      <c r="F216" s="19">
        <f>E216*F$2</f>
        <v/>
      </c>
      <c r="G216" s="19">
        <f>SUM(E216:F216)*G$2</f>
        <v/>
      </c>
      <c r="H216" s="19">
        <f>G216*H$2</f>
        <v/>
      </c>
      <c r="I216" s="19">
        <f>G216*I$2</f>
        <v/>
      </c>
      <c r="J216" s="19">
        <f>SUM(G216:I216)</f>
        <v/>
      </c>
      <c r="K216" s="19">
        <f>J216/8</f>
        <v/>
      </c>
      <c r="L216" t="inlineStr">
        <is>
          <t>ASWD-9</t>
        </is>
      </c>
      <c r="M216" t="inlineStr">
        <is>
          <t>F2</t>
        </is>
      </c>
      <c r="N216" t="inlineStr">
        <is>
          <t>M4</t>
        </is>
      </c>
    </row>
    <row r="217" ht="26" customHeight="1">
      <c r="A217" s="21" t="n"/>
      <c r="B217" s="21" t="n"/>
      <c r="C217" s="21" t="n"/>
      <c r="D217" s="8" t="inlineStr">
        <is>
          <t>ViewModel, DTO and converters</t>
        </is>
      </c>
      <c r="E217" s="18" t="n">
        <v>6</v>
      </c>
      <c r="F217" s="19">
        <f>E217*F$2</f>
        <v/>
      </c>
      <c r="G217" s="19">
        <f>SUM(E217:F217)*G$2</f>
        <v/>
      </c>
      <c r="H217" s="19">
        <f>G217*H$2</f>
        <v/>
      </c>
      <c r="I217" s="19">
        <f>G217*I$2</f>
        <v/>
      </c>
      <c r="J217" s="19">
        <f>SUM(G217:I217)</f>
        <v/>
      </c>
      <c r="K217" s="19">
        <f>J217/8</f>
        <v/>
      </c>
      <c r="L217" t="inlineStr">
        <is>
          <t>ASWD-9</t>
        </is>
      </c>
      <c r="M217" t="inlineStr">
        <is>
          <t>F2</t>
        </is>
      </c>
      <c r="N217" t="inlineStr">
        <is>
          <t>M4</t>
        </is>
      </c>
    </row>
    <row r="218" ht="26" customHeight="1">
      <c r="A218" s="21" t="n"/>
      <c r="B218" s="21" t="n"/>
      <c r="C218" s="20" t="n"/>
      <c r="D218" s="8" t="inlineStr">
        <is>
          <t>Screen (XAML) and command wiring</t>
        </is>
      </c>
      <c r="E218" s="18" t="n">
        <v>7</v>
      </c>
      <c r="F218" s="19">
        <f>E218*F$2</f>
        <v/>
      </c>
      <c r="G218" s="19">
        <f>SUM(E218:F218)*G$2</f>
        <v/>
      </c>
      <c r="H218" s="19">
        <f>G218*H$2</f>
        <v/>
      </c>
      <c r="I218" s="19">
        <f>G218*I$2</f>
        <v/>
      </c>
      <c r="J218" s="19">
        <f>SUM(G218:I218)</f>
        <v/>
      </c>
      <c r="K218" s="19">
        <f>J218/8</f>
        <v/>
      </c>
      <c r="L218" t="inlineStr">
        <is>
          <t>ASWD-9</t>
        </is>
      </c>
      <c r="M218" t="inlineStr">
        <is>
          <t>F2</t>
        </is>
      </c>
      <c r="N218" t="inlineStr">
        <is>
          <t>M4</t>
        </is>
      </c>
    </row>
    <row r="219" ht="26" customHeight="1">
      <c r="A219" s="21" t="n"/>
      <c r="B219" s="21" t="n"/>
      <c r="C219" s="17" t="inlineStr">
        <is>
          <t>GID-254924</t>
        </is>
      </c>
      <c r="D219" s="8" t="inlineStr">
        <is>
          <t>Core model and service</t>
        </is>
      </c>
      <c r="E219" s="18" t="n">
        <v>3</v>
      </c>
      <c r="F219" s="19">
        <f>E219*F$2</f>
        <v/>
      </c>
      <c r="G219" s="19">
        <f>SUM(E219:F219)*G$2</f>
        <v/>
      </c>
      <c r="H219" s="19">
        <f>G219*H$2</f>
        <v/>
      </c>
      <c r="I219" s="19">
        <f>G219*I$2</f>
        <v/>
      </c>
      <c r="J219" s="19">
        <f>SUM(G219:I219)</f>
        <v/>
      </c>
      <c r="K219" s="19">
        <f>J219/8</f>
        <v/>
      </c>
      <c r="L219" t="inlineStr">
        <is>
          <t>ASWD-9</t>
        </is>
      </c>
      <c r="M219" t="inlineStr">
        <is>
          <t>F2</t>
        </is>
      </c>
      <c r="N219" t="inlineStr">
        <is>
          <t>M4</t>
        </is>
      </c>
    </row>
    <row r="220" ht="26" customHeight="1">
      <c r="A220" s="21" t="n"/>
      <c r="B220" s="21" t="n"/>
      <c r="C220" s="21" t="n"/>
      <c r="D220" s="8" t="inlineStr">
        <is>
          <t>ViewModel, DTO and converters</t>
        </is>
      </c>
      <c r="E220" s="18" t="n">
        <v>2</v>
      </c>
      <c r="F220" s="19">
        <f>E220*F$2</f>
        <v/>
      </c>
      <c r="G220" s="19">
        <f>SUM(E220:F220)*G$2</f>
        <v/>
      </c>
      <c r="H220" s="19">
        <f>G220*H$2</f>
        <v/>
      </c>
      <c r="I220" s="19">
        <f>G220*I$2</f>
        <v/>
      </c>
      <c r="J220" s="19">
        <f>SUM(G220:I220)</f>
        <v/>
      </c>
      <c r="K220" s="19">
        <f>J220/8</f>
        <v/>
      </c>
      <c r="L220" t="inlineStr">
        <is>
          <t>ASWD-9</t>
        </is>
      </c>
      <c r="M220" t="inlineStr">
        <is>
          <t>F2</t>
        </is>
      </c>
      <c r="N220" t="inlineStr">
        <is>
          <t>M4</t>
        </is>
      </c>
    </row>
    <row r="221" ht="26" customHeight="1">
      <c r="A221" s="21" t="n"/>
      <c r="B221" s="20" t="n"/>
      <c r="C221" s="20" t="n"/>
      <c r="D221" s="8" t="inlineStr">
        <is>
          <t>Screen (XAML) and command wiring</t>
        </is>
      </c>
      <c r="E221" s="18" t="n">
        <v>2</v>
      </c>
      <c r="F221" s="19">
        <f>E221*F$2</f>
        <v/>
      </c>
      <c r="G221" s="19">
        <f>SUM(E221:F221)*G$2</f>
        <v/>
      </c>
      <c r="H221" s="19">
        <f>G221*H$2</f>
        <v/>
      </c>
      <c r="I221" s="19">
        <f>G221*I$2</f>
        <v/>
      </c>
      <c r="J221" s="19">
        <f>SUM(G221:I221)</f>
        <v/>
      </c>
      <c r="K221" s="19">
        <f>J221/8</f>
        <v/>
      </c>
      <c r="L221" t="inlineStr">
        <is>
          <t>ASWD-9</t>
        </is>
      </c>
      <c r="M221" t="inlineStr">
        <is>
          <t>F2</t>
        </is>
      </c>
      <c r="N221" t="inlineStr">
        <is>
          <t>M4</t>
        </is>
      </c>
    </row>
    <row r="222" ht="26" customHeight="1">
      <c r="A222" s="21" t="n"/>
      <c r="B222" s="17" t="inlineStr">
        <is>
          <t>F3 - Configure on-device settings and show device system information</t>
        </is>
      </c>
      <c r="C222" s="17" t="inlineStr">
        <is>
          <t>Configure the 7 device settings (GID-254925)</t>
        </is>
      </c>
      <c r="D222" s="8" t="inlineStr">
        <is>
          <t>Settings entity and storage</t>
        </is>
      </c>
      <c r="E222" s="18" t="n">
        <v>6</v>
      </c>
      <c r="F222" s="19">
        <f>E222*F$2</f>
        <v/>
      </c>
      <c r="G222" s="19">
        <f>SUM(E222:F222)*G$2</f>
        <v/>
      </c>
      <c r="H222" s="19">
        <f>G222*H$2</f>
        <v/>
      </c>
      <c r="I222" s="19">
        <f>G222*I$2</f>
        <v/>
      </c>
      <c r="J222" s="19">
        <f>SUM(G222:I222)</f>
        <v/>
      </c>
      <c r="K222" s="19">
        <f>J222/8</f>
        <v/>
      </c>
      <c r="L222" t="inlineStr">
        <is>
          <t>ASWD-9</t>
        </is>
      </c>
      <c r="M222" t="inlineStr">
        <is>
          <t>F3</t>
        </is>
      </c>
      <c r="N222" t="inlineStr">
        <is>
          <t>M4</t>
        </is>
      </c>
    </row>
    <row r="223" ht="26" customHeight="1">
      <c r="A223" s="21" t="n"/>
      <c r="B223" s="21" t="n"/>
      <c r="C223" s="21" t="n"/>
      <c r="D223" s="8" t="inlineStr">
        <is>
          <t>Configuration screen and validation</t>
        </is>
      </c>
      <c r="E223" s="18" t="n">
        <v>6</v>
      </c>
      <c r="F223" s="19">
        <f>E223*F$2</f>
        <v/>
      </c>
      <c r="G223" s="19">
        <f>SUM(E223:F223)*G$2</f>
        <v/>
      </c>
      <c r="H223" s="19">
        <f>G223*H$2</f>
        <v/>
      </c>
      <c r="I223" s="19">
        <f>G223*I$2</f>
        <v/>
      </c>
      <c r="J223" s="19">
        <f>SUM(G223:I223)</f>
        <v/>
      </c>
      <c r="K223" s="19">
        <f>J223/8</f>
        <v/>
      </c>
      <c r="L223" t="inlineStr">
        <is>
          <t>ASWD-9</t>
        </is>
      </c>
      <c r="M223" t="inlineStr">
        <is>
          <t>F3</t>
        </is>
      </c>
      <c r="N223" t="inlineStr">
        <is>
          <t>M4</t>
        </is>
      </c>
    </row>
    <row r="224" ht="26" customHeight="1">
      <c r="A224" s="21" t="n"/>
      <c r="B224" s="21" t="n"/>
      <c r="C224" s="20" t="n"/>
      <c r="D224" s="8" t="inlineStr">
        <is>
          <t>Apply the setting everywhere it is read</t>
        </is>
      </c>
      <c r="E224" s="18" t="n">
        <v>6</v>
      </c>
      <c r="F224" s="19">
        <f>E224*F$2</f>
        <v/>
      </c>
      <c r="G224" s="19">
        <f>SUM(E224:F224)*G$2</f>
        <v/>
      </c>
      <c r="H224" s="19">
        <f>G224*H$2</f>
        <v/>
      </c>
      <c r="I224" s="19">
        <f>G224*I$2</f>
        <v/>
      </c>
      <c r="J224" s="19">
        <f>SUM(G224:I224)</f>
        <v/>
      </c>
      <c r="K224" s="19">
        <f>J224/8</f>
        <v/>
      </c>
      <c r="L224" t="inlineStr">
        <is>
          <t>ASWD-9</t>
        </is>
      </c>
      <c r="M224" t="inlineStr">
        <is>
          <t>F3</t>
        </is>
      </c>
      <c r="N224" t="inlineStr">
        <is>
          <t>M4</t>
        </is>
      </c>
    </row>
    <row r="225" ht="26" customHeight="1">
      <c r="A225" s="21" t="n"/>
      <c r="B225" s="21" t="n"/>
      <c r="C225" s="17" t="inlineStr">
        <is>
          <t>Last Seen, Last Updated, Hardware Version, Firmware Version (GID-254926)</t>
        </is>
      </c>
      <c r="D225" s="8" t="inlineStr">
        <is>
          <t>Transport and protocol handling</t>
        </is>
      </c>
      <c r="E225" s="18" t="n">
        <v>7</v>
      </c>
      <c r="F225" s="19">
        <f>E225*F$2</f>
        <v/>
      </c>
      <c r="G225" s="19">
        <f>SUM(E225:F225)*G$2</f>
        <v/>
      </c>
      <c r="H225" s="19">
        <f>G225*H$2</f>
        <v/>
      </c>
      <c r="I225" s="19">
        <f>G225*I$2</f>
        <v/>
      </c>
      <c r="J225" s="19">
        <f>SUM(G225:I225)</f>
        <v/>
      </c>
      <c r="K225" s="19">
        <f>J225/8</f>
        <v/>
      </c>
      <c r="L225" t="inlineStr">
        <is>
          <t>ASWD-9</t>
        </is>
      </c>
      <c r="M225" t="inlineStr">
        <is>
          <t>F3</t>
        </is>
      </c>
      <c r="N225" t="inlineStr">
        <is>
          <t>M4</t>
        </is>
      </c>
    </row>
    <row r="226" ht="26" customHeight="1">
      <c r="A226" s="21" t="n"/>
      <c r="B226" s="21" t="n"/>
      <c r="C226" s="21" t="n"/>
      <c r="D226" s="8" t="inlineStr">
        <is>
          <t>Core interfaces and adapter service</t>
        </is>
      </c>
      <c r="E226" s="18" t="n">
        <v>7</v>
      </c>
      <c r="F226" s="19">
        <f>E226*F$2</f>
        <v/>
      </c>
      <c r="G226" s="19">
        <f>SUM(E226:F226)*G$2</f>
        <v/>
      </c>
      <c r="H226" s="19">
        <f>G226*H$2</f>
        <v/>
      </c>
      <c r="I226" s="19">
        <f>G226*I$2</f>
        <v/>
      </c>
      <c r="J226" s="19">
        <f>SUM(G226:I226)</f>
        <v/>
      </c>
      <c r="K226" s="19">
        <f>J226/8</f>
        <v/>
      </c>
      <c r="L226" t="inlineStr">
        <is>
          <t>ASWD-9</t>
        </is>
      </c>
      <c r="M226" t="inlineStr">
        <is>
          <t>F3</t>
        </is>
      </c>
      <c r="N226" t="inlineStr">
        <is>
          <t>M4</t>
        </is>
      </c>
    </row>
    <row r="227" ht="26" customHeight="1">
      <c r="A227" s="20" t="n"/>
      <c r="B227" s="20" t="n"/>
      <c r="C227" s="20" t="n"/>
      <c r="D227" s="8" t="inlineStr">
        <is>
          <t>On-screen status and error feedback</t>
        </is>
      </c>
      <c r="E227" s="18" t="n">
        <v>6</v>
      </c>
      <c r="F227" s="19">
        <f>E227*F$2</f>
        <v/>
      </c>
      <c r="G227" s="19">
        <f>SUM(E227:F227)*G$2</f>
        <v/>
      </c>
      <c r="H227" s="19">
        <f>G227*H$2</f>
        <v/>
      </c>
      <c r="I227" s="19">
        <f>G227*I$2</f>
        <v/>
      </c>
      <c r="J227" s="19">
        <f>SUM(G227:I227)</f>
        <v/>
      </c>
      <c r="K227" s="19">
        <f>J227/8</f>
        <v/>
      </c>
      <c r="L227" t="inlineStr">
        <is>
          <t>ASWD-9</t>
        </is>
      </c>
      <c r="M227" t="inlineStr">
        <is>
          <t>F3</t>
        </is>
      </c>
      <c r="N227" t="inlineStr">
        <is>
          <t>M4</t>
        </is>
      </c>
    </row>
    <row r="228" ht="26" customHeight="1">
      <c r="A228" s="16" t="inlineStr">
        <is>
          <t>ASWD-10</t>
        </is>
      </c>
      <c r="B228" s="17" t="inlineStr">
        <is>
          <t>F1 - Create, view, edit and delete sites, and set what syncs to devices</t>
        </is>
      </c>
      <c r="C228" s="17" t="inlineStr">
        <is>
          <t>Create the Sites table</t>
        </is>
      </c>
      <c r="D228" s="8" t="inlineStr">
        <is>
          <t>Site entity and EF Core configuration</t>
        </is>
      </c>
      <c r="E228" s="18" t="n">
        <v>4</v>
      </c>
      <c r="F228" s="19">
        <f>E228*F$2</f>
        <v/>
      </c>
      <c r="G228" s="19">
        <f>SUM(E228:F228)*G$2</f>
        <v/>
      </c>
      <c r="H228" s="19">
        <f>G228*H$2</f>
        <v/>
      </c>
      <c r="I228" s="19">
        <f>G228*I$2</f>
        <v/>
      </c>
      <c r="J228" s="19">
        <f>SUM(G228:I228)</f>
        <v/>
      </c>
      <c r="K228" s="19">
        <f>J228/8</f>
        <v/>
      </c>
      <c r="L228" t="inlineStr">
        <is>
          <t>ASWD-10</t>
        </is>
      </c>
      <c r="M228" t="inlineStr">
        <is>
          <t>F1</t>
        </is>
      </c>
      <c r="N228" t="inlineStr">
        <is>
          <t>M4</t>
        </is>
      </c>
    </row>
    <row r="229" ht="26" customHeight="1">
      <c r="A229" s="21" t="n"/>
      <c r="B229" s="21" t="n"/>
      <c r="C229" s="21" t="n"/>
      <c r="D229" s="8" t="inlineStr">
        <is>
          <t>Migration and DbContext wiring</t>
        </is>
      </c>
      <c r="E229" s="18" t="n">
        <v>2</v>
      </c>
      <c r="F229" s="19">
        <f>E229*F$2</f>
        <v/>
      </c>
      <c r="G229" s="19">
        <f>SUM(E229:F229)*G$2</f>
        <v/>
      </c>
      <c r="H229" s="19">
        <f>G229*H$2</f>
        <v/>
      </c>
      <c r="I229" s="19">
        <f>G229*I$2</f>
        <v/>
      </c>
      <c r="J229" s="19">
        <f>SUM(G229:I229)</f>
        <v/>
      </c>
      <c r="K229" s="19">
        <f>J229/8</f>
        <v/>
      </c>
      <c r="L229" t="inlineStr">
        <is>
          <t>ASWD-10</t>
        </is>
      </c>
      <c r="M229" t="inlineStr">
        <is>
          <t>F1</t>
        </is>
      </c>
      <c r="N229" t="inlineStr">
        <is>
          <t>M4</t>
        </is>
      </c>
    </row>
    <row r="230" ht="26" customHeight="1">
      <c r="A230" s="21" t="n"/>
      <c r="B230" s="21" t="n"/>
      <c r="C230" s="20" t="n"/>
      <c r="D230" s="8" t="inlineStr">
        <is>
          <t>Repository and service methods</t>
        </is>
      </c>
      <c r="E230" s="18" t="n">
        <v>4</v>
      </c>
      <c r="F230" s="19">
        <f>E230*F$2</f>
        <v/>
      </c>
      <c r="G230" s="19">
        <f>SUM(E230:F230)*G$2</f>
        <v/>
      </c>
      <c r="H230" s="19">
        <f>G230*H$2</f>
        <v/>
      </c>
      <c r="I230" s="19">
        <f>G230*I$2</f>
        <v/>
      </c>
      <c r="J230" s="19">
        <f>SUM(G230:I230)</f>
        <v/>
      </c>
      <c r="K230" s="19">
        <f>J230/8</f>
        <v/>
      </c>
      <c r="L230" t="inlineStr">
        <is>
          <t>ASWD-10</t>
        </is>
      </c>
      <c r="M230" t="inlineStr">
        <is>
          <t>F1</t>
        </is>
      </c>
      <c r="N230" t="inlineStr">
        <is>
          <t>M4</t>
        </is>
      </c>
    </row>
    <row r="231" ht="26" customHeight="1">
      <c r="A231" s="21" t="n"/>
      <c r="B231" s="21" t="n"/>
      <c r="C231" s="17" t="inlineStr">
        <is>
          <t>View, add, edit and delete sites with Name / Description / Code</t>
        </is>
      </c>
      <c r="D231" s="8" t="inlineStr">
        <is>
          <t>Core model and service</t>
        </is>
      </c>
      <c r="E231" s="18" t="n">
        <v>3</v>
      </c>
      <c r="F231" s="19">
        <f>E231*F$2</f>
        <v/>
      </c>
      <c r="G231" s="19">
        <f>SUM(E231:F231)*G$2</f>
        <v/>
      </c>
      <c r="H231" s="19">
        <f>G231*H$2</f>
        <v/>
      </c>
      <c r="I231" s="19">
        <f>G231*I$2</f>
        <v/>
      </c>
      <c r="J231" s="19">
        <f>SUM(G231:I231)</f>
        <v/>
      </c>
      <c r="K231" s="19">
        <f>J231/8</f>
        <v/>
      </c>
      <c r="L231" t="inlineStr">
        <is>
          <t>ASWD-10</t>
        </is>
      </c>
      <c r="M231" t="inlineStr">
        <is>
          <t>F1</t>
        </is>
      </c>
      <c r="N231" t="inlineStr">
        <is>
          <t>M4</t>
        </is>
      </c>
    </row>
    <row r="232" ht="26" customHeight="1">
      <c r="A232" s="21" t="n"/>
      <c r="B232" s="21" t="n"/>
      <c r="C232" s="21" t="n"/>
      <c r="D232" s="8" t="inlineStr">
        <is>
          <t>ViewModel, DTO and converters</t>
        </is>
      </c>
      <c r="E232" s="18" t="n">
        <v>3</v>
      </c>
      <c r="F232" s="19">
        <f>E232*F$2</f>
        <v/>
      </c>
      <c r="G232" s="19">
        <f>SUM(E232:F232)*G$2</f>
        <v/>
      </c>
      <c r="H232" s="19">
        <f>G232*H$2</f>
        <v/>
      </c>
      <c r="I232" s="19">
        <f>G232*I$2</f>
        <v/>
      </c>
      <c r="J232" s="19">
        <f>SUM(G232:I232)</f>
        <v/>
      </c>
      <c r="K232" s="19">
        <f>J232/8</f>
        <v/>
      </c>
      <c r="L232" t="inlineStr">
        <is>
          <t>ASWD-10</t>
        </is>
      </c>
      <c r="M232" t="inlineStr">
        <is>
          <t>F1</t>
        </is>
      </c>
      <c r="N232" t="inlineStr">
        <is>
          <t>M4</t>
        </is>
      </c>
    </row>
    <row r="233" ht="26" customHeight="1">
      <c r="A233" s="21" t="n"/>
      <c r="B233" s="21" t="n"/>
      <c r="C233" s="20" t="n"/>
      <c r="D233" s="8" t="inlineStr">
        <is>
          <t>Screen (XAML) and command wiring</t>
        </is>
      </c>
      <c r="E233" s="18" t="n">
        <v>4</v>
      </c>
      <c r="F233" s="19">
        <f>E233*F$2</f>
        <v/>
      </c>
      <c r="G233" s="19">
        <f>SUM(E233:F233)*G$2</f>
        <v/>
      </c>
      <c r="H233" s="19">
        <f>G233*H$2</f>
        <v/>
      </c>
      <c r="I233" s="19">
        <f>G233*I$2</f>
        <v/>
      </c>
      <c r="J233" s="19">
        <f>SUM(G233:I233)</f>
        <v/>
      </c>
      <c r="K233" s="19">
        <f>J233/8</f>
        <v/>
      </c>
      <c r="L233" t="inlineStr">
        <is>
          <t>ASWD-10</t>
        </is>
      </c>
      <c r="M233" t="inlineStr">
        <is>
          <t>F1</t>
        </is>
      </c>
      <c r="N233" t="inlineStr">
        <is>
          <t>M4</t>
        </is>
      </c>
    </row>
    <row r="234" ht="26" customHeight="1">
      <c r="A234" s="21" t="n"/>
      <c r="B234" s="21" t="n"/>
      <c r="C234" s="17" t="inlineStr">
        <is>
          <t>Wire this screen's Add/Edit/Delete and Save/Revert/Undo onto Epic 2 F2's shared framework, replacing any local copy</t>
        </is>
      </c>
      <c r="D234" s="8" t="inlineStr">
        <is>
          <t>Core model and service</t>
        </is>
      </c>
      <c r="E234" s="18" t="n">
        <v>2</v>
      </c>
      <c r="F234" s="19">
        <f>E234*F$2</f>
        <v/>
      </c>
      <c r="G234" s="19">
        <f>SUM(E234:F234)*G$2</f>
        <v/>
      </c>
      <c r="H234" s="19">
        <f>G234*H$2</f>
        <v/>
      </c>
      <c r="I234" s="19">
        <f>G234*I$2</f>
        <v/>
      </c>
      <c r="J234" s="19">
        <f>SUM(G234:I234)</f>
        <v/>
      </c>
      <c r="K234" s="19">
        <f>J234/8</f>
        <v/>
      </c>
      <c r="L234" t="inlineStr">
        <is>
          <t>ASWD-10</t>
        </is>
      </c>
      <c r="M234" t="inlineStr">
        <is>
          <t>F1</t>
        </is>
      </c>
      <c r="N234" t="inlineStr">
        <is>
          <t>M4</t>
        </is>
      </c>
    </row>
    <row r="235" ht="26" customHeight="1">
      <c r="A235" s="21" t="n"/>
      <c r="B235" s="21" t="n"/>
      <c r="C235" s="21" t="n"/>
      <c r="D235" s="8" t="inlineStr">
        <is>
          <t>ViewModel, DTO and converters</t>
        </is>
      </c>
      <c r="E235" s="18" t="n">
        <v>1</v>
      </c>
      <c r="F235" s="19">
        <f>E235*F$2</f>
        <v/>
      </c>
      <c r="G235" s="19">
        <f>SUM(E235:F235)*G$2</f>
        <v/>
      </c>
      <c r="H235" s="19">
        <f>G235*H$2</f>
        <v/>
      </c>
      <c r="I235" s="19">
        <f>G235*I$2</f>
        <v/>
      </c>
      <c r="J235" s="19">
        <f>SUM(G235:I235)</f>
        <v/>
      </c>
      <c r="K235" s="19">
        <f>J235/8</f>
        <v/>
      </c>
      <c r="L235" t="inlineStr">
        <is>
          <t>ASWD-10</t>
        </is>
      </c>
      <c r="M235" t="inlineStr">
        <is>
          <t>F1</t>
        </is>
      </c>
      <c r="N235" t="inlineStr">
        <is>
          <t>M4</t>
        </is>
      </c>
    </row>
    <row r="236" ht="26" customHeight="1">
      <c r="A236" s="21" t="n"/>
      <c r="B236" s="21" t="n"/>
      <c r="C236" s="20" t="n"/>
      <c r="D236" s="8" t="inlineStr">
        <is>
          <t>Screen (XAML) and command wiring</t>
        </is>
      </c>
      <c r="E236" s="18" t="n">
        <v>1</v>
      </c>
      <c r="F236" s="19">
        <f>E236*F$2</f>
        <v/>
      </c>
      <c r="G236" s="19">
        <f>SUM(E236:F236)*G$2</f>
        <v/>
      </c>
      <c r="H236" s="19">
        <f>G236*H$2</f>
        <v/>
      </c>
      <c r="I236" s="19">
        <f>G236*I$2</f>
        <v/>
      </c>
      <c r="J236" s="19">
        <f>SUM(G236:I236)</f>
        <v/>
      </c>
      <c r="K236" s="19">
        <f>J236/8</f>
        <v/>
      </c>
      <c r="L236" t="inlineStr">
        <is>
          <t>ASWD-10</t>
        </is>
      </c>
      <c r="M236" t="inlineStr">
        <is>
          <t>F1</t>
        </is>
      </c>
      <c r="N236" t="inlineStr">
        <is>
          <t>M4</t>
        </is>
      </c>
    </row>
    <row r="237" ht="26" customHeight="1">
      <c r="A237" s="21" t="n"/>
      <c r="B237" s="21" t="n"/>
      <c r="C237" s="17" t="inlineStr">
        <is>
          <t>Setting for whether the site and facility list is pushed to devices during synchronisation (GID-255001, GID-255002) — *cannot be finished until Epic 21*</t>
        </is>
      </c>
      <c r="D237" s="8" t="inlineStr">
        <is>
          <t>Settings entity and storage</t>
        </is>
      </c>
      <c r="E237" s="18" t="n">
        <v>3</v>
      </c>
      <c r="F237" s="19">
        <f>E237*F$2</f>
        <v/>
      </c>
      <c r="G237" s="19">
        <f>SUM(E237:F237)*G$2</f>
        <v/>
      </c>
      <c r="H237" s="19">
        <f>G237*H$2</f>
        <v/>
      </c>
      <c r="I237" s="19">
        <f>G237*I$2</f>
        <v/>
      </c>
      <c r="J237" s="19">
        <f>SUM(G237:I237)</f>
        <v/>
      </c>
      <c r="K237" s="19">
        <f>J237/8</f>
        <v/>
      </c>
      <c r="L237" t="inlineStr">
        <is>
          <t>ASWD-10</t>
        </is>
      </c>
      <c r="M237" t="inlineStr">
        <is>
          <t>F1</t>
        </is>
      </c>
      <c r="N237" t="inlineStr">
        <is>
          <t>M4</t>
        </is>
      </c>
    </row>
    <row r="238" ht="26" customHeight="1">
      <c r="A238" s="21" t="n"/>
      <c r="B238" s="21" t="n"/>
      <c r="C238" s="21" t="n"/>
      <c r="D238" s="8" t="inlineStr">
        <is>
          <t>Configuration screen and validation</t>
        </is>
      </c>
      <c r="E238" s="18" t="n">
        <v>4</v>
      </c>
      <c r="F238" s="19">
        <f>E238*F$2</f>
        <v/>
      </c>
      <c r="G238" s="19">
        <f>SUM(E238:F238)*G$2</f>
        <v/>
      </c>
      <c r="H238" s="19">
        <f>G238*H$2</f>
        <v/>
      </c>
      <c r="I238" s="19">
        <f>G238*I$2</f>
        <v/>
      </c>
      <c r="J238" s="19">
        <f>SUM(G238:I238)</f>
        <v/>
      </c>
      <c r="K238" s="19">
        <f>J238/8</f>
        <v/>
      </c>
      <c r="L238" t="inlineStr">
        <is>
          <t>ASWD-10</t>
        </is>
      </c>
      <c r="M238" t="inlineStr">
        <is>
          <t>F1</t>
        </is>
      </c>
      <c r="N238" t="inlineStr">
        <is>
          <t>M4</t>
        </is>
      </c>
    </row>
    <row r="239" ht="26" customHeight="1">
      <c r="A239" s="21" t="n"/>
      <c r="B239" s="20" t="n"/>
      <c r="C239" s="20" t="n"/>
      <c r="D239" s="8" t="inlineStr">
        <is>
          <t>Apply the setting everywhere it is read</t>
        </is>
      </c>
      <c r="E239" s="18" t="n">
        <v>3</v>
      </c>
      <c r="F239" s="19">
        <f>E239*F$2</f>
        <v/>
      </c>
      <c r="G239" s="19">
        <f>SUM(E239:F239)*G$2</f>
        <v/>
      </c>
      <c r="H239" s="19">
        <f>G239*H$2</f>
        <v/>
      </c>
      <c r="I239" s="19">
        <f>G239*I$2</f>
        <v/>
      </c>
      <c r="J239" s="19">
        <f>SUM(G239:I239)</f>
        <v/>
      </c>
      <c r="K239" s="19">
        <f>J239/8</f>
        <v/>
      </c>
      <c r="L239" t="inlineStr">
        <is>
          <t>ASWD-10</t>
        </is>
      </c>
      <c r="M239" t="inlineStr">
        <is>
          <t>F1</t>
        </is>
      </c>
      <c r="N239" t="inlineStr">
        <is>
          <t>M4</t>
        </is>
      </c>
    </row>
    <row r="240" ht="26" customHeight="1">
      <c r="A240" s="21" t="n"/>
      <c r="B240" s="17" t="inlineStr">
        <is>
          <t>F2 - Shared “can this record be deleted?” check reused by seven screens</t>
        </is>
      </c>
      <c r="C240" s="17" t="inlineStr">
        <is>
          <t>One shared rule set for "can this record be deleted?", reused by Facility, Location, Profile, Device, Protocol, Risk Factor and Comment</t>
        </is>
      </c>
      <c r="D240" s="8" t="inlineStr">
        <is>
          <t>Core model and service</t>
        </is>
      </c>
      <c r="E240" s="18" t="n">
        <v>6</v>
      </c>
      <c r="F240" s="19">
        <f>E240*F$2</f>
        <v/>
      </c>
      <c r="G240" s="19">
        <f>SUM(E240:F240)*G$2</f>
        <v/>
      </c>
      <c r="H240" s="19">
        <f>G240*H$2</f>
        <v/>
      </c>
      <c r="I240" s="19">
        <f>G240*I$2</f>
        <v/>
      </c>
      <c r="J240" s="19">
        <f>SUM(G240:I240)</f>
        <v/>
      </c>
      <c r="K240" s="19">
        <f>J240/8</f>
        <v/>
      </c>
      <c r="L240" t="inlineStr">
        <is>
          <t>ASWD-10</t>
        </is>
      </c>
      <c r="M240" t="inlineStr">
        <is>
          <t>F2</t>
        </is>
      </c>
      <c r="N240" t="inlineStr">
        <is>
          <t>M4</t>
        </is>
      </c>
    </row>
    <row r="241" ht="26" customHeight="1">
      <c r="A241" s="21" t="n"/>
      <c r="B241" s="21" t="n"/>
      <c r="C241" s="21" t="n"/>
      <c r="D241" s="8" t="inlineStr">
        <is>
          <t>ViewModel, DTO and converters</t>
        </is>
      </c>
      <c r="E241" s="18" t="n">
        <v>6</v>
      </c>
      <c r="F241" s="19">
        <f>E241*F$2</f>
        <v/>
      </c>
      <c r="G241" s="19">
        <f>SUM(E241:F241)*G$2</f>
        <v/>
      </c>
      <c r="H241" s="19">
        <f>G241*H$2</f>
        <v/>
      </c>
      <c r="I241" s="19">
        <f>G241*I$2</f>
        <v/>
      </c>
      <c r="J241" s="19">
        <f>SUM(G241:I241)</f>
        <v/>
      </c>
      <c r="K241" s="19">
        <f>J241/8</f>
        <v/>
      </c>
      <c r="L241" t="inlineStr">
        <is>
          <t>ASWD-10</t>
        </is>
      </c>
      <c r="M241" t="inlineStr">
        <is>
          <t>F2</t>
        </is>
      </c>
      <c r="N241" t="inlineStr">
        <is>
          <t>M4</t>
        </is>
      </c>
    </row>
    <row r="242" ht="26" customHeight="1">
      <c r="A242" s="20" t="n"/>
      <c r="B242" s="20" t="n"/>
      <c r="C242" s="20" t="n"/>
      <c r="D242" s="8" t="inlineStr">
        <is>
          <t>Screen (XAML) and command wiring</t>
        </is>
      </c>
      <c r="E242" s="18" t="n">
        <v>4</v>
      </c>
      <c r="F242" s="19">
        <f>E242*F$2</f>
        <v/>
      </c>
      <c r="G242" s="19">
        <f>SUM(E242:F242)*G$2</f>
        <v/>
      </c>
      <c r="H242" s="19">
        <f>G242*H$2</f>
        <v/>
      </c>
      <c r="I242" s="19">
        <f>G242*I$2</f>
        <v/>
      </c>
      <c r="J242" s="19">
        <f>SUM(G242:I242)</f>
        <v/>
      </c>
      <c r="K242" s="19">
        <f>J242/8</f>
        <v/>
      </c>
      <c r="L242" t="inlineStr">
        <is>
          <t>ASWD-10</t>
        </is>
      </c>
      <c r="M242" t="inlineStr">
        <is>
          <t>F2</t>
        </is>
      </c>
      <c r="N242" t="inlineStr">
        <is>
          <t>M4</t>
        </is>
      </c>
    </row>
    <row r="243" ht="26" customHeight="1">
      <c r="A243" s="16" t="inlineStr">
        <is>
          <t>ASWD-11</t>
        </is>
      </c>
      <c r="B243" s="17" t="inlineStr">
        <is>
          <t>F1 - Create, view, edit and delete facilities</t>
        </is>
      </c>
      <c r="C243" s="17" t="inlineStr">
        <is>
          <t>Create the Facilities table</t>
        </is>
      </c>
      <c r="D243" s="8" t="inlineStr">
        <is>
          <t>Facility entity and EF Core configuration</t>
        </is>
      </c>
      <c r="E243" s="18" t="n">
        <v>4</v>
      </c>
      <c r="F243" s="19">
        <f>E243*F$2</f>
        <v/>
      </c>
      <c r="G243" s="19">
        <f>SUM(E243:F243)*G$2</f>
        <v/>
      </c>
      <c r="H243" s="19">
        <f>G243*H$2</f>
        <v/>
      </c>
      <c r="I243" s="19">
        <f>G243*I$2</f>
        <v/>
      </c>
      <c r="J243" s="19">
        <f>SUM(G243:I243)</f>
        <v/>
      </c>
      <c r="K243" s="19">
        <f>J243/8</f>
        <v/>
      </c>
      <c r="L243" t="inlineStr">
        <is>
          <t>ASWD-11</t>
        </is>
      </c>
      <c r="M243" t="inlineStr">
        <is>
          <t>F1</t>
        </is>
      </c>
      <c r="N243" t="inlineStr">
        <is>
          <t>M4</t>
        </is>
      </c>
    </row>
    <row r="244" ht="26" customHeight="1">
      <c r="A244" s="21" t="n"/>
      <c r="B244" s="21" t="n"/>
      <c r="C244" s="21" t="n"/>
      <c r="D244" s="8" t="inlineStr">
        <is>
          <t>Migration and DbContext wiring</t>
        </is>
      </c>
      <c r="E244" s="18" t="n">
        <v>2</v>
      </c>
      <c r="F244" s="19">
        <f>E244*F$2</f>
        <v/>
      </c>
      <c r="G244" s="19">
        <f>SUM(E244:F244)*G$2</f>
        <v/>
      </c>
      <c r="H244" s="19">
        <f>G244*H$2</f>
        <v/>
      </c>
      <c r="I244" s="19">
        <f>G244*I$2</f>
        <v/>
      </c>
      <c r="J244" s="19">
        <f>SUM(G244:I244)</f>
        <v/>
      </c>
      <c r="K244" s="19">
        <f>J244/8</f>
        <v/>
      </c>
      <c r="L244" t="inlineStr">
        <is>
          <t>ASWD-11</t>
        </is>
      </c>
      <c r="M244" t="inlineStr">
        <is>
          <t>F1</t>
        </is>
      </c>
      <c r="N244" t="inlineStr">
        <is>
          <t>M4</t>
        </is>
      </c>
    </row>
    <row r="245" ht="26" customHeight="1">
      <c r="A245" s="21" t="n"/>
      <c r="B245" s="21" t="n"/>
      <c r="C245" s="20" t="n"/>
      <c r="D245" s="8" t="inlineStr">
        <is>
          <t>Repository and service methods</t>
        </is>
      </c>
      <c r="E245" s="18" t="n">
        <v>5</v>
      </c>
      <c r="F245" s="19">
        <f>E245*F$2</f>
        <v/>
      </c>
      <c r="G245" s="19">
        <f>SUM(E245:F245)*G$2</f>
        <v/>
      </c>
      <c r="H245" s="19">
        <f>G245*H$2</f>
        <v/>
      </c>
      <c r="I245" s="19">
        <f>G245*I$2</f>
        <v/>
      </c>
      <c r="J245" s="19">
        <f>SUM(G245:I245)</f>
        <v/>
      </c>
      <c r="K245" s="19">
        <f>J245/8</f>
        <v/>
      </c>
      <c r="L245" t="inlineStr">
        <is>
          <t>ASWD-11</t>
        </is>
      </c>
      <c r="M245" t="inlineStr">
        <is>
          <t>F1</t>
        </is>
      </c>
      <c r="N245" t="inlineStr">
        <is>
          <t>M4</t>
        </is>
      </c>
    </row>
    <row r="246" ht="26" customHeight="1">
      <c r="A246" s="21" t="n"/>
      <c r="B246" s="21" t="n"/>
      <c r="C246" s="17" t="inlineStr">
        <is>
          <t>View, add, edit and delete facilities with Name / Description / Code / Site / Location Type</t>
        </is>
      </c>
      <c r="D246" s="8" t="inlineStr">
        <is>
          <t>Core model and service</t>
        </is>
      </c>
      <c r="E246" s="18" t="n">
        <v>3</v>
      </c>
      <c r="F246" s="19">
        <f>E246*F$2</f>
        <v/>
      </c>
      <c r="G246" s="19">
        <f>SUM(E246:F246)*G$2</f>
        <v/>
      </c>
      <c r="H246" s="19">
        <f>G246*H$2</f>
        <v/>
      </c>
      <c r="I246" s="19">
        <f>G246*I$2</f>
        <v/>
      </c>
      <c r="J246" s="19">
        <f>SUM(G246:I246)</f>
        <v/>
      </c>
      <c r="K246" s="19">
        <f>J246/8</f>
        <v/>
      </c>
      <c r="L246" t="inlineStr">
        <is>
          <t>ASWD-11</t>
        </is>
      </c>
      <c r="M246" t="inlineStr">
        <is>
          <t>F1</t>
        </is>
      </c>
      <c r="N246" t="inlineStr">
        <is>
          <t>M4</t>
        </is>
      </c>
    </row>
    <row r="247" ht="26" customHeight="1">
      <c r="A247" s="21" t="n"/>
      <c r="B247" s="21" t="n"/>
      <c r="C247" s="21" t="n"/>
      <c r="D247" s="8" t="inlineStr">
        <is>
          <t>ViewModel, DTO and converters</t>
        </is>
      </c>
      <c r="E247" s="18" t="n">
        <v>3</v>
      </c>
      <c r="F247" s="19">
        <f>E247*F$2</f>
        <v/>
      </c>
      <c r="G247" s="19">
        <f>SUM(E247:F247)*G$2</f>
        <v/>
      </c>
      <c r="H247" s="19">
        <f>G247*H$2</f>
        <v/>
      </c>
      <c r="I247" s="19">
        <f>G247*I$2</f>
        <v/>
      </c>
      <c r="J247" s="19">
        <f>SUM(G247:I247)</f>
        <v/>
      </c>
      <c r="K247" s="19">
        <f>J247/8</f>
        <v/>
      </c>
      <c r="L247" t="inlineStr">
        <is>
          <t>ASWD-11</t>
        </is>
      </c>
      <c r="M247" t="inlineStr">
        <is>
          <t>F1</t>
        </is>
      </c>
      <c r="N247" t="inlineStr">
        <is>
          <t>M4</t>
        </is>
      </c>
    </row>
    <row r="248" ht="26" customHeight="1">
      <c r="A248" s="21" t="n"/>
      <c r="B248" s="21" t="n"/>
      <c r="C248" s="20" t="n"/>
      <c r="D248" s="8" t="inlineStr">
        <is>
          <t>Screen (XAML) and command wiring</t>
        </is>
      </c>
      <c r="E248" s="18" t="n">
        <v>5</v>
      </c>
      <c r="F248" s="19">
        <f>E248*F$2</f>
        <v/>
      </c>
      <c r="G248" s="19">
        <f>SUM(E248:F248)*G$2</f>
        <v/>
      </c>
      <c r="H248" s="19">
        <f>G248*H$2</f>
        <v/>
      </c>
      <c r="I248" s="19">
        <f>G248*I$2</f>
        <v/>
      </c>
      <c r="J248" s="19">
        <f>SUM(G248:I248)</f>
        <v/>
      </c>
      <c r="K248" s="19">
        <f>J248/8</f>
        <v/>
      </c>
      <c r="L248" t="inlineStr">
        <is>
          <t>ASWD-11</t>
        </is>
      </c>
      <c r="M248" t="inlineStr">
        <is>
          <t>F1</t>
        </is>
      </c>
      <c r="N248" t="inlineStr">
        <is>
          <t>M4</t>
        </is>
      </c>
    </row>
    <row r="249" ht="26" customHeight="1">
      <c r="A249" s="21" t="n"/>
      <c r="B249" s="21" t="n"/>
      <c r="C249" s="17" t="inlineStr">
        <is>
          <t>Reuse Epic 10's "in use" check</t>
        </is>
      </c>
      <c r="D249" s="8" t="inlineStr">
        <is>
          <t>Rule in the Core or Application layer</t>
        </is>
      </c>
      <c r="E249" s="18" t="n">
        <v>6</v>
      </c>
      <c r="F249" s="19">
        <f>E249*F$2</f>
        <v/>
      </c>
      <c r="G249" s="19">
        <f>SUM(E249:F249)*G$2</f>
        <v/>
      </c>
      <c r="H249" s="19">
        <f>G249*H$2</f>
        <v/>
      </c>
      <c r="I249" s="19">
        <f>G249*I$2</f>
        <v/>
      </c>
      <c r="J249" s="19">
        <f>SUM(G249:I249)</f>
        <v/>
      </c>
      <c r="K249" s="19">
        <f>J249/8</f>
        <v/>
      </c>
      <c r="L249" t="inlineStr">
        <is>
          <t>ASWD-11</t>
        </is>
      </c>
      <c r="M249" t="inlineStr">
        <is>
          <t>F1</t>
        </is>
      </c>
      <c r="N249" t="inlineStr">
        <is>
          <t>M4</t>
        </is>
      </c>
    </row>
    <row r="250" ht="26" customHeight="1">
      <c r="A250" s="21" t="n"/>
      <c r="B250" s="21" t="n"/>
      <c r="C250" s="20" t="n"/>
      <c r="D250" s="8" t="inlineStr">
        <is>
          <t>Apply at every call site and hide the blocked actions</t>
        </is>
      </c>
      <c r="E250" s="18" t="n">
        <v>5</v>
      </c>
      <c r="F250" s="19">
        <f>E250*F$2</f>
        <v/>
      </c>
      <c r="G250" s="19">
        <f>SUM(E250:F250)*G$2</f>
        <v/>
      </c>
      <c r="H250" s="19">
        <f>G250*H$2</f>
        <v/>
      </c>
      <c r="I250" s="19">
        <f>G250*I$2</f>
        <v/>
      </c>
      <c r="J250" s="19">
        <f>SUM(G250:I250)</f>
        <v/>
      </c>
      <c r="K250" s="19">
        <f>J250/8</f>
        <v/>
      </c>
      <c r="L250" t="inlineStr">
        <is>
          <t>ASWD-11</t>
        </is>
      </c>
      <c r="M250" t="inlineStr">
        <is>
          <t>F1</t>
        </is>
      </c>
      <c r="N250" t="inlineStr">
        <is>
          <t>M4</t>
        </is>
      </c>
    </row>
    <row r="251" ht="26" customHeight="1">
      <c r="A251" s="21" t="n"/>
      <c r="B251" s="21" t="n"/>
      <c r="C251" s="17" t="inlineStr">
        <is>
          <t>Wire this screen's Add/Edit/Delete and Save/Revert/Undo onto Epic 2 F2's shared framework, replacing any local copy</t>
        </is>
      </c>
      <c r="D251" s="8" t="inlineStr">
        <is>
          <t>Core model and service</t>
        </is>
      </c>
      <c r="E251" s="18" t="n">
        <v>2</v>
      </c>
      <c r="F251" s="19">
        <f>E251*F$2</f>
        <v/>
      </c>
      <c r="G251" s="19">
        <f>SUM(E251:F251)*G$2</f>
        <v/>
      </c>
      <c r="H251" s="19">
        <f>G251*H$2</f>
        <v/>
      </c>
      <c r="I251" s="19">
        <f>G251*I$2</f>
        <v/>
      </c>
      <c r="J251" s="19">
        <f>SUM(G251:I251)</f>
        <v/>
      </c>
      <c r="K251" s="19">
        <f>J251/8</f>
        <v/>
      </c>
      <c r="L251" t="inlineStr">
        <is>
          <t>ASWD-11</t>
        </is>
      </c>
      <c r="M251" t="inlineStr">
        <is>
          <t>F1</t>
        </is>
      </c>
      <c r="N251" t="inlineStr">
        <is>
          <t>M4</t>
        </is>
      </c>
    </row>
    <row r="252" ht="26" customHeight="1">
      <c r="A252" s="21" t="n"/>
      <c r="B252" s="21" t="n"/>
      <c r="C252" s="21" t="n"/>
      <c r="D252" s="8" t="inlineStr">
        <is>
          <t>ViewModel, DTO and converters</t>
        </is>
      </c>
      <c r="E252" s="18" t="n">
        <v>1</v>
      </c>
      <c r="F252" s="19">
        <f>E252*F$2</f>
        <v/>
      </c>
      <c r="G252" s="19">
        <f>SUM(E252:F252)*G$2</f>
        <v/>
      </c>
      <c r="H252" s="19">
        <f>G252*H$2</f>
        <v/>
      </c>
      <c r="I252" s="19">
        <f>G252*I$2</f>
        <v/>
      </c>
      <c r="J252" s="19">
        <f>SUM(G252:I252)</f>
        <v/>
      </c>
      <c r="K252" s="19">
        <f>J252/8</f>
        <v/>
      </c>
      <c r="L252" t="inlineStr">
        <is>
          <t>ASWD-11</t>
        </is>
      </c>
      <c r="M252" t="inlineStr">
        <is>
          <t>F1</t>
        </is>
      </c>
      <c r="N252" t="inlineStr">
        <is>
          <t>M4</t>
        </is>
      </c>
    </row>
    <row r="253" ht="26" customHeight="1">
      <c r="A253" s="20" t="n"/>
      <c r="B253" s="20" t="n"/>
      <c r="C253" s="20" t="n"/>
      <c r="D253" s="8" t="inlineStr">
        <is>
          <t>Screen (XAML) and command wiring</t>
        </is>
      </c>
      <c r="E253" s="18" t="n">
        <v>2</v>
      </c>
      <c r="F253" s="19">
        <f>E253*F$2</f>
        <v/>
      </c>
      <c r="G253" s="19">
        <f>SUM(E253:F253)*G$2</f>
        <v/>
      </c>
      <c r="H253" s="19">
        <f>G253*H$2</f>
        <v/>
      </c>
      <c r="I253" s="19">
        <f>G253*I$2</f>
        <v/>
      </c>
      <c r="J253" s="19">
        <f>SUM(G253:I253)</f>
        <v/>
      </c>
      <c r="K253" s="19">
        <f>J253/8</f>
        <v/>
      </c>
      <c r="L253" t="inlineStr">
        <is>
          <t>ASWD-11</t>
        </is>
      </c>
      <c r="M253" t="inlineStr">
        <is>
          <t>F1</t>
        </is>
      </c>
      <c r="N253" t="inlineStr">
        <is>
          <t>M4</t>
        </is>
      </c>
    </row>
    <row r="254" ht="26" customHeight="1">
      <c r="A254" s="16" t="inlineStr">
        <is>
          <t>ASWD-12</t>
        </is>
      </c>
      <c r="B254" s="17" t="inlineStr">
        <is>
          <t>F1 - Create, view, edit and delete locations, and assign one to every facility</t>
        </is>
      </c>
      <c r="C254" s="17" t="inlineStr">
        <is>
          <t>Create the Locations table</t>
        </is>
      </c>
      <c r="D254" s="8" t="inlineStr">
        <is>
          <t>Location entity and EF Core configuration</t>
        </is>
      </c>
      <c r="E254" s="18" t="n">
        <v>5</v>
      </c>
      <c r="F254" s="19">
        <f>E254*F$2</f>
        <v/>
      </c>
      <c r="G254" s="19">
        <f>SUM(E254:F254)*G$2</f>
        <v/>
      </c>
      <c r="H254" s="19">
        <f>G254*H$2</f>
        <v/>
      </c>
      <c r="I254" s="19">
        <f>G254*I$2</f>
        <v/>
      </c>
      <c r="J254" s="19">
        <f>SUM(G254:I254)</f>
        <v/>
      </c>
      <c r="K254" s="19">
        <f>J254/8</f>
        <v/>
      </c>
      <c r="L254" t="inlineStr">
        <is>
          <t>ASWD-12</t>
        </is>
      </c>
      <c r="M254" t="inlineStr">
        <is>
          <t>F1</t>
        </is>
      </c>
      <c r="N254" t="inlineStr">
        <is>
          <t>M4</t>
        </is>
      </c>
    </row>
    <row r="255" ht="26" customHeight="1">
      <c r="A255" s="21" t="n"/>
      <c r="B255" s="21" t="n"/>
      <c r="C255" s="21" t="n"/>
      <c r="D255" s="8" t="inlineStr">
        <is>
          <t>Migration and DbContext wiring</t>
        </is>
      </c>
      <c r="E255" s="18" t="n">
        <v>3</v>
      </c>
      <c r="F255" s="19">
        <f>E255*F$2</f>
        <v/>
      </c>
      <c r="G255" s="19">
        <f>SUM(E255:F255)*G$2</f>
        <v/>
      </c>
      <c r="H255" s="19">
        <f>G255*H$2</f>
        <v/>
      </c>
      <c r="I255" s="19">
        <f>G255*I$2</f>
        <v/>
      </c>
      <c r="J255" s="19">
        <f>SUM(G255:I255)</f>
        <v/>
      </c>
      <c r="K255" s="19">
        <f>J255/8</f>
        <v/>
      </c>
      <c r="L255" t="inlineStr">
        <is>
          <t>ASWD-12</t>
        </is>
      </c>
      <c r="M255" t="inlineStr">
        <is>
          <t>F1</t>
        </is>
      </c>
      <c r="N255" t="inlineStr">
        <is>
          <t>M4</t>
        </is>
      </c>
    </row>
    <row r="256" ht="26" customHeight="1">
      <c r="A256" s="21" t="n"/>
      <c r="B256" s="21" t="n"/>
      <c r="C256" s="20" t="n"/>
      <c r="D256" s="8" t="inlineStr">
        <is>
          <t>Repository and service methods</t>
        </is>
      </c>
      <c r="E256" s="18" t="n">
        <v>6</v>
      </c>
      <c r="F256" s="19">
        <f>E256*F$2</f>
        <v/>
      </c>
      <c r="G256" s="19">
        <f>SUM(E256:F256)*G$2</f>
        <v/>
      </c>
      <c r="H256" s="19">
        <f>G256*H$2</f>
        <v/>
      </c>
      <c r="I256" s="19">
        <f>G256*I$2</f>
        <v/>
      </c>
      <c r="J256" s="19">
        <f>SUM(G256:I256)</f>
        <v/>
      </c>
      <c r="K256" s="19">
        <f>J256/8</f>
        <v/>
      </c>
      <c r="L256" t="inlineStr">
        <is>
          <t>ASWD-12</t>
        </is>
      </c>
      <c r="M256" t="inlineStr">
        <is>
          <t>F1</t>
        </is>
      </c>
      <c r="N256" t="inlineStr">
        <is>
          <t>M4</t>
        </is>
      </c>
    </row>
    <row r="257" ht="26" customHeight="1">
      <c r="A257" s="21" t="n"/>
      <c r="B257" s="21" t="n"/>
      <c r="C257" s="17" t="inlineStr">
        <is>
          <t>View, add, edit and delete locations with Name / Description / Code</t>
        </is>
      </c>
      <c r="D257" s="8" t="inlineStr">
        <is>
          <t>Core model and service</t>
        </is>
      </c>
      <c r="E257" s="18" t="n">
        <v>4</v>
      </c>
      <c r="F257" s="19">
        <f>E257*F$2</f>
        <v/>
      </c>
      <c r="G257" s="19">
        <f>SUM(E257:F257)*G$2</f>
        <v/>
      </c>
      <c r="H257" s="19">
        <f>G257*H$2</f>
        <v/>
      </c>
      <c r="I257" s="19">
        <f>G257*I$2</f>
        <v/>
      </c>
      <c r="J257" s="19">
        <f>SUM(G257:I257)</f>
        <v/>
      </c>
      <c r="K257" s="19">
        <f>J257/8</f>
        <v/>
      </c>
      <c r="L257" t="inlineStr">
        <is>
          <t>ASWD-12</t>
        </is>
      </c>
      <c r="M257" t="inlineStr">
        <is>
          <t>F1</t>
        </is>
      </c>
      <c r="N257" t="inlineStr">
        <is>
          <t>M4</t>
        </is>
      </c>
    </row>
    <row r="258" ht="26" customHeight="1">
      <c r="A258" s="21" t="n"/>
      <c r="B258" s="21" t="n"/>
      <c r="C258" s="21" t="n"/>
      <c r="D258" s="8" t="inlineStr">
        <is>
          <t>ViewModel, DTO and converters</t>
        </is>
      </c>
      <c r="E258" s="18" t="n">
        <v>4</v>
      </c>
      <c r="F258" s="19">
        <f>E258*F$2</f>
        <v/>
      </c>
      <c r="G258" s="19">
        <f>SUM(E258:F258)*G$2</f>
        <v/>
      </c>
      <c r="H258" s="19">
        <f>G258*H$2</f>
        <v/>
      </c>
      <c r="I258" s="19">
        <f>G258*I$2</f>
        <v/>
      </c>
      <c r="J258" s="19">
        <f>SUM(G258:I258)</f>
        <v/>
      </c>
      <c r="K258" s="19">
        <f>J258/8</f>
        <v/>
      </c>
      <c r="L258" t="inlineStr">
        <is>
          <t>ASWD-12</t>
        </is>
      </c>
      <c r="M258" t="inlineStr">
        <is>
          <t>F1</t>
        </is>
      </c>
      <c r="N258" t="inlineStr">
        <is>
          <t>M4</t>
        </is>
      </c>
    </row>
    <row r="259" ht="26" customHeight="1">
      <c r="A259" s="21" t="n"/>
      <c r="B259" s="21" t="n"/>
      <c r="C259" s="20" t="n"/>
      <c r="D259" s="8" t="inlineStr">
        <is>
          <t>Screen (XAML) and command wiring</t>
        </is>
      </c>
      <c r="E259" s="18" t="n">
        <v>6</v>
      </c>
      <c r="F259" s="19">
        <f>E259*F$2</f>
        <v/>
      </c>
      <c r="G259" s="19">
        <f>SUM(E259:F259)*G$2</f>
        <v/>
      </c>
      <c r="H259" s="19">
        <f>G259*H$2</f>
        <v/>
      </c>
      <c r="I259" s="19">
        <f>G259*I$2</f>
        <v/>
      </c>
      <c r="J259" s="19">
        <f>SUM(G259:I259)</f>
        <v/>
      </c>
      <c r="K259" s="19">
        <f>J259/8</f>
        <v/>
      </c>
      <c r="L259" t="inlineStr">
        <is>
          <t>ASWD-12</t>
        </is>
      </c>
      <c r="M259" t="inlineStr">
        <is>
          <t>F1</t>
        </is>
      </c>
      <c r="N259" t="inlineStr">
        <is>
          <t>M4</t>
        </is>
      </c>
    </row>
    <row r="260" ht="26" customHeight="1">
      <c r="A260" s="21" t="n"/>
      <c r="B260" s="21" t="n"/>
      <c r="C260" s="17" t="inlineStr">
        <is>
          <t>When adding a location, offer to assign it to every facility (GID-255465)</t>
        </is>
      </c>
      <c r="D260" s="8" t="inlineStr">
        <is>
          <t>Core model and service</t>
        </is>
      </c>
      <c r="E260" s="18" t="n">
        <v>2</v>
      </c>
      <c r="F260" s="19">
        <f>E260*F$2</f>
        <v/>
      </c>
      <c r="G260" s="19">
        <f>SUM(E260:F260)*G$2</f>
        <v/>
      </c>
      <c r="H260" s="19">
        <f>G260*H$2</f>
        <v/>
      </c>
      <c r="I260" s="19">
        <f>G260*I$2</f>
        <v/>
      </c>
      <c r="J260" s="19">
        <f>SUM(G260:I260)</f>
        <v/>
      </c>
      <c r="K260" s="19">
        <f>J260/8</f>
        <v/>
      </c>
      <c r="L260" t="inlineStr">
        <is>
          <t>ASWD-12</t>
        </is>
      </c>
      <c r="M260" t="inlineStr">
        <is>
          <t>F1</t>
        </is>
      </c>
      <c r="N260" t="inlineStr">
        <is>
          <t>M4</t>
        </is>
      </c>
    </row>
    <row r="261" ht="26" customHeight="1">
      <c r="A261" s="21" t="n"/>
      <c r="B261" s="21" t="n"/>
      <c r="C261" s="21" t="n"/>
      <c r="D261" s="8" t="inlineStr">
        <is>
          <t>ViewModel, DTO and converters</t>
        </is>
      </c>
      <c r="E261" s="18" t="n">
        <v>1</v>
      </c>
      <c r="F261" s="19">
        <f>E261*F$2</f>
        <v/>
      </c>
      <c r="G261" s="19">
        <f>SUM(E261:F261)*G$2</f>
        <v/>
      </c>
      <c r="H261" s="19">
        <f>G261*H$2</f>
        <v/>
      </c>
      <c r="I261" s="19">
        <f>G261*I$2</f>
        <v/>
      </c>
      <c r="J261" s="19">
        <f>SUM(G261:I261)</f>
        <v/>
      </c>
      <c r="K261" s="19">
        <f>J261/8</f>
        <v/>
      </c>
      <c r="L261" t="inlineStr">
        <is>
          <t>ASWD-12</t>
        </is>
      </c>
      <c r="M261" t="inlineStr">
        <is>
          <t>F1</t>
        </is>
      </c>
      <c r="N261" t="inlineStr">
        <is>
          <t>M4</t>
        </is>
      </c>
    </row>
    <row r="262" ht="26" customHeight="1">
      <c r="A262" s="21" t="n"/>
      <c r="B262" s="21" t="n"/>
      <c r="C262" s="20" t="n"/>
      <c r="D262" s="8" t="inlineStr">
        <is>
          <t>Screen (XAML) and command wiring</t>
        </is>
      </c>
      <c r="E262" s="18" t="n">
        <v>2</v>
      </c>
      <c r="F262" s="19">
        <f>E262*F$2</f>
        <v/>
      </c>
      <c r="G262" s="19">
        <f>SUM(E262:F262)*G$2</f>
        <v/>
      </c>
      <c r="H262" s="19">
        <f>G262*H$2</f>
        <v/>
      </c>
      <c r="I262" s="19">
        <f>G262*I$2</f>
        <v/>
      </c>
      <c r="J262" s="19">
        <f>SUM(G262:I262)</f>
        <v/>
      </c>
      <c r="K262" s="19">
        <f>J262/8</f>
        <v/>
      </c>
      <c r="L262" t="inlineStr">
        <is>
          <t>ASWD-12</t>
        </is>
      </c>
      <c r="M262" t="inlineStr">
        <is>
          <t>F1</t>
        </is>
      </c>
      <c r="N262" t="inlineStr">
        <is>
          <t>M4</t>
        </is>
      </c>
    </row>
    <row r="263" ht="26" customHeight="1">
      <c r="A263" s="21" t="n"/>
      <c r="B263" s="21" t="n"/>
      <c r="C263" s="17" t="inlineStr">
        <is>
          <t>Wire this screen's Add/Edit/Delete and Save/Revert/Undo onto Epic 2 F2's shared framework, replacing any local copy</t>
        </is>
      </c>
      <c r="D263" s="8" t="inlineStr">
        <is>
          <t>Core model and service</t>
        </is>
      </c>
      <c r="E263" s="18" t="n">
        <v>2</v>
      </c>
      <c r="F263" s="19">
        <f>E263*F$2</f>
        <v/>
      </c>
      <c r="G263" s="19">
        <f>SUM(E263:F263)*G$2</f>
        <v/>
      </c>
      <c r="H263" s="19">
        <f>G263*H$2</f>
        <v/>
      </c>
      <c r="I263" s="19">
        <f>G263*I$2</f>
        <v/>
      </c>
      <c r="J263" s="19">
        <f>SUM(G263:I263)</f>
        <v/>
      </c>
      <c r="K263" s="19">
        <f>J263/8</f>
        <v/>
      </c>
      <c r="L263" t="inlineStr">
        <is>
          <t>ASWD-12</t>
        </is>
      </c>
      <c r="M263" t="inlineStr">
        <is>
          <t>F1</t>
        </is>
      </c>
      <c r="N263" t="inlineStr">
        <is>
          <t>M4</t>
        </is>
      </c>
    </row>
    <row r="264" ht="26" customHeight="1">
      <c r="A264" s="21" t="n"/>
      <c r="B264" s="21" t="n"/>
      <c r="C264" s="21" t="n"/>
      <c r="D264" s="8" t="inlineStr">
        <is>
          <t>ViewModel, DTO and converters</t>
        </is>
      </c>
      <c r="E264" s="18" t="n">
        <v>1</v>
      </c>
      <c r="F264" s="19">
        <f>E264*F$2</f>
        <v/>
      </c>
      <c r="G264" s="19">
        <f>SUM(E264:F264)*G$2</f>
        <v/>
      </c>
      <c r="H264" s="19">
        <f>G264*H$2</f>
        <v/>
      </c>
      <c r="I264" s="19">
        <f>G264*I$2</f>
        <v/>
      </c>
      <c r="J264" s="19">
        <f>SUM(G264:I264)</f>
        <v/>
      </c>
      <c r="K264" s="19">
        <f>J264/8</f>
        <v/>
      </c>
      <c r="L264" t="inlineStr">
        <is>
          <t>ASWD-12</t>
        </is>
      </c>
      <c r="M264" t="inlineStr">
        <is>
          <t>F1</t>
        </is>
      </c>
      <c r="N264" t="inlineStr">
        <is>
          <t>M4</t>
        </is>
      </c>
    </row>
    <row r="265" ht="26" customHeight="1">
      <c r="A265" s="20" t="n"/>
      <c r="B265" s="20" t="n"/>
      <c r="C265" s="20" t="n"/>
      <c r="D265" s="8" t="inlineStr">
        <is>
          <t>Screen (XAML) and command wiring</t>
        </is>
      </c>
      <c r="E265" s="18" t="n">
        <v>2</v>
      </c>
      <c r="F265" s="19">
        <f>E265*F$2</f>
        <v/>
      </c>
      <c r="G265" s="19">
        <f>SUM(E265:F265)*G$2</f>
        <v/>
      </c>
      <c r="H265" s="19">
        <f>G265*H$2</f>
        <v/>
      </c>
      <c r="I265" s="19">
        <f>G265*I$2</f>
        <v/>
      </c>
      <c r="J265" s="19">
        <f>SUM(G265:I265)</f>
        <v/>
      </c>
      <c r="K265" s="19">
        <f>J265/8</f>
        <v/>
      </c>
      <c r="L265" t="inlineStr">
        <is>
          <t>ASWD-12</t>
        </is>
      </c>
      <c r="M265" t="inlineStr">
        <is>
          <t>F1</t>
        </is>
      </c>
      <c r="N265" t="inlineStr">
        <is>
          <t>M4</t>
        </is>
      </c>
    </row>
    <row r="266" ht="26" customHeight="1">
      <c r="A266" s="16" t="inlineStr">
        <is>
          <t>ASWD-13</t>
        </is>
      </c>
      <c r="B266" s="17" t="inlineStr">
        <is>
          <t>F1 - Create, view, edit and delete ABR test protocols</t>
        </is>
      </c>
      <c r="C266" s="17" t="inlineStr">
        <is>
          <t>Create the ABRProtocols table with its parameter value ranges</t>
        </is>
      </c>
      <c r="D266" s="8" t="inlineStr">
        <is>
          <t>ABRProtocols entity and EF Core configuration</t>
        </is>
      </c>
      <c r="E266" s="18" t="n">
        <v>7</v>
      </c>
      <c r="F266" s="19">
        <f>E266*F$2</f>
        <v/>
      </c>
      <c r="G266" s="19">
        <f>SUM(E266:F266)*G$2</f>
        <v/>
      </c>
      <c r="H266" s="19">
        <f>G266*H$2</f>
        <v/>
      </c>
      <c r="I266" s="19">
        <f>G266*I$2</f>
        <v/>
      </c>
      <c r="J266" s="19">
        <f>SUM(G266:I266)</f>
        <v/>
      </c>
      <c r="K266" s="19">
        <f>J266/8</f>
        <v/>
      </c>
      <c r="L266" t="inlineStr">
        <is>
          <t>ASWD-13</t>
        </is>
      </c>
      <c r="M266" t="inlineStr">
        <is>
          <t>F1</t>
        </is>
      </c>
      <c r="N266" t="inlineStr">
        <is>
          <t>M4</t>
        </is>
      </c>
    </row>
    <row r="267" ht="26" customHeight="1">
      <c r="A267" s="21" t="n"/>
      <c r="B267" s="21" t="n"/>
      <c r="C267" s="21" t="n"/>
      <c r="D267" s="8" t="inlineStr">
        <is>
          <t>Migration and DbContext wiring</t>
        </is>
      </c>
      <c r="E267" s="18" t="n">
        <v>4</v>
      </c>
      <c r="F267" s="19">
        <f>E267*F$2</f>
        <v/>
      </c>
      <c r="G267" s="19">
        <f>SUM(E267:F267)*G$2</f>
        <v/>
      </c>
      <c r="H267" s="19">
        <f>G267*H$2</f>
        <v/>
      </c>
      <c r="I267" s="19">
        <f>G267*I$2</f>
        <v/>
      </c>
      <c r="J267" s="19">
        <f>SUM(G267:I267)</f>
        <v/>
      </c>
      <c r="K267" s="19">
        <f>J267/8</f>
        <v/>
      </c>
      <c r="L267" t="inlineStr">
        <is>
          <t>ASWD-13</t>
        </is>
      </c>
      <c r="M267" t="inlineStr">
        <is>
          <t>F1</t>
        </is>
      </c>
      <c r="N267" t="inlineStr">
        <is>
          <t>M4</t>
        </is>
      </c>
    </row>
    <row r="268" ht="26" customHeight="1">
      <c r="A268" s="21" t="n"/>
      <c r="B268" s="21" t="n"/>
      <c r="C268" s="20" t="n"/>
      <c r="D268" s="8" t="inlineStr">
        <is>
          <t>Repository and service methods</t>
        </is>
      </c>
      <c r="E268" s="18" t="n">
        <v>5</v>
      </c>
      <c r="F268" s="19">
        <f>E268*F$2</f>
        <v/>
      </c>
      <c r="G268" s="19">
        <f>SUM(E268:F268)*G$2</f>
        <v/>
      </c>
      <c r="H268" s="19">
        <f>G268*H$2</f>
        <v/>
      </c>
      <c r="I268" s="19">
        <f>G268*I$2</f>
        <v/>
      </c>
      <c r="J268" s="19">
        <f>SUM(G268:I268)</f>
        <v/>
      </c>
      <c r="K268" s="19">
        <f>J268/8</f>
        <v/>
      </c>
      <c r="L268" t="inlineStr">
        <is>
          <t>ASWD-13</t>
        </is>
      </c>
      <c r="M268" t="inlineStr">
        <is>
          <t>F1</t>
        </is>
      </c>
      <c r="N268" t="inlineStr">
        <is>
          <t>M4</t>
        </is>
      </c>
    </row>
    <row r="269" ht="26" customHeight="1">
      <c r="A269" s="21" t="n"/>
      <c r="B269" s="21" t="n"/>
      <c r="C269" s="17" t="inlineStr">
        <is>
          <t>View, create, edit and delete ABR protocols</t>
        </is>
      </c>
      <c r="D269" s="8" t="inlineStr">
        <is>
          <t>Core model and service</t>
        </is>
      </c>
      <c r="E269" s="18" t="n">
        <v>5</v>
      </c>
      <c r="F269" s="19">
        <f>E269*F$2</f>
        <v/>
      </c>
      <c r="G269" s="19">
        <f>SUM(E269:F269)*G$2</f>
        <v/>
      </c>
      <c r="H269" s="19">
        <f>G269*H$2</f>
        <v/>
      </c>
      <c r="I269" s="19">
        <f>G269*I$2</f>
        <v/>
      </c>
      <c r="J269" s="19">
        <f>SUM(G269:I269)</f>
        <v/>
      </c>
      <c r="K269" s="19">
        <f>J269/8</f>
        <v/>
      </c>
      <c r="L269" t="inlineStr">
        <is>
          <t>ASWD-13</t>
        </is>
      </c>
      <c r="M269" t="inlineStr">
        <is>
          <t>F1</t>
        </is>
      </c>
      <c r="N269" t="inlineStr">
        <is>
          <t>M4</t>
        </is>
      </c>
    </row>
    <row r="270" ht="26" customHeight="1">
      <c r="A270" s="21" t="n"/>
      <c r="B270" s="21" t="n"/>
      <c r="C270" s="21" t="n"/>
      <c r="D270" s="8" t="inlineStr">
        <is>
          <t>ViewModel, DTO and converters</t>
        </is>
      </c>
      <c r="E270" s="18" t="n">
        <v>5</v>
      </c>
      <c r="F270" s="19">
        <f>E270*F$2</f>
        <v/>
      </c>
      <c r="G270" s="19">
        <f>SUM(E270:F270)*G$2</f>
        <v/>
      </c>
      <c r="H270" s="19">
        <f>G270*H$2</f>
        <v/>
      </c>
      <c r="I270" s="19">
        <f>G270*I$2</f>
        <v/>
      </c>
      <c r="J270" s="19">
        <f>SUM(G270:I270)</f>
        <v/>
      </c>
      <c r="K270" s="19">
        <f>J270/8</f>
        <v/>
      </c>
      <c r="L270" t="inlineStr">
        <is>
          <t>ASWD-13</t>
        </is>
      </c>
      <c r="M270" t="inlineStr">
        <is>
          <t>F1</t>
        </is>
      </c>
      <c r="N270" t="inlineStr">
        <is>
          <t>M4</t>
        </is>
      </c>
    </row>
    <row r="271" ht="26" customHeight="1">
      <c r="A271" s="21" t="n"/>
      <c r="B271" s="21" t="n"/>
      <c r="C271" s="20" t="n"/>
      <c r="D271" s="8" t="inlineStr">
        <is>
          <t>Screen (XAML) and command wiring</t>
        </is>
      </c>
      <c r="E271" s="18" t="n">
        <v>4</v>
      </c>
      <c r="F271" s="19">
        <f>E271*F$2</f>
        <v/>
      </c>
      <c r="G271" s="19">
        <f>SUM(E271:F271)*G$2</f>
        <v/>
      </c>
      <c r="H271" s="19">
        <f>G271*H$2</f>
        <v/>
      </c>
      <c r="I271" s="19">
        <f>G271*I$2</f>
        <v/>
      </c>
      <c r="J271" s="19">
        <f>SUM(G271:I271)</f>
        <v/>
      </c>
      <c r="K271" s="19">
        <f>J271/8</f>
        <v/>
      </c>
      <c r="L271" t="inlineStr">
        <is>
          <t>ASWD-13</t>
        </is>
      </c>
      <c r="M271" t="inlineStr">
        <is>
          <t>F1</t>
        </is>
      </c>
      <c r="N271" t="inlineStr">
        <is>
          <t>M4</t>
        </is>
      </c>
    </row>
    <row r="272" ht="26" customHeight="1">
      <c r="A272" s="21" t="n"/>
      <c r="B272" s="21" t="n"/>
      <c r="C272" s="17" t="inlineStr">
        <is>
          <t>Wire this screen's Add/Edit/Delete and Save/Revert/Undo onto Epic 2 F2's shared framework, replacing any local copy</t>
        </is>
      </c>
      <c r="D272" s="8" t="inlineStr">
        <is>
          <t>Core model and service</t>
        </is>
      </c>
      <c r="E272" s="18" t="n">
        <v>3</v>
      </c>
      <c r="F272" s="19">
        <f>E272*F$2</f>
        <v/>
      </c>
      <c r="G272" s="19">
        <f>SUM(E272:F272)*G$2</f>
        <v/>
      </c>
      <c r="H272" s="19">
        <f>G272*H$2</f>
        <v/>
      </c>
      <c r="I272" s="19">
        <f>G272*I$2</f>
        <v/>
      </c>
      <c r="J272" s="19">
        <f>SUM(G272:I272)</f>
        <v/>
      </c>
      <c r="K272" s="19">
        <f>J272/8</f>
        <v/>
      </c>
      <c r="L272" t="inlineStr">
        <is>
          <t>ASWD-13</t>
        </is>
      </c>
      <c r="M272" t="inlineStr">
        <is>
          <t>F1</t>
        </is>
      </c>
      <c r="N272" t="inlineStr">
        <is>
          <t>M4</t>
        </is>
      </c>
    </row>
    <row r="273" ht="26" customHeight="1">
      <c r="A273" s="21" t="n"/>
      <c r="B273" s="21" t="n"/>
      <c r="C273" s="21" t="n"/>
      <c r="D273" s="8" t="inlineStr">
        <is>
          <t>ViewModel, DTO and converters</t>
        </is>
      </c>
      <c r="E273" s="18" t="n">
        <v>2</v>
      </c>
      <c r="F273" s="19">
        <f>E273*F$2</f>
        <v/>
      </c>
      <c r="G273" s="19">
        <f>SUM(E273:F273)*G$2</f>
        <v/>
      </c>
      <c r="H273" s="19">
        <f>G273*H$2</f>
        <v/>
      </c>
      <c r="I273" s="19">
        <f>G273*I$2</f>
        <v/>
      </c>
      <c r="J273" s="19">
        <f>SUM(G273:I273)</f>
        <v/>
      </c>
      <c r="K273" s="19">
        <f>J273/8</f>
        <v/>
      </c>
      <c r="L273" t="inlineStr">
        <is>
          <t>ASWD-13</t>
        </is>
      </c>
      <c r="M273" t="inlineStr">
        <is>
          <t>F1</t>
        </is>
      </c>
      <c r="N273" t="inlineStr">
        <is>
          <t>M4</t>
        </is>
      </c>
    </row>
    <row r="274" ht="26" customHeight="1">
      <c r="A274" s="20" t="n"/>
      <c r="B274" s="20" t="n"/>
      <c r="C274" s="20" t="n"/>
      <c r="D274" s="8" t="inlineStr">
        <is>
          <t>Screen (XAML) and command wiring</t>
        </is>
      </c>
      <c r="E274" s="18" t="n">
        <v>2</v>
      </c>
      <c r="F274" s="19">
        <f>E274*F$2</f>
        <v/>
      </c>
      <c r="G274" s="19">
        <f>SUM(E274:F274)*G$2</f>
        <v/>
      </c>
      <c r="H274" s="19">
        <f>G274*H$2</f>
        <v/>
      </c>
      <c r="I274" s="19">
        <f>G274*I$2</f>
        <v/>
      </c>
      <c r="J274" s="19">
        <f>SUM(G274:I274)</f>
        <v/>
      </c>
      <c r="K274" s="19">
        <f>J274/8</f>
        <v/>
      </c>
      <c r="L274" t="inlineStr">
        <is>
          <t>ASWD-13</t>
        </is>
      </c>
      <c r="M274" t="inlineStr">
        <is>
          <t>F1</t>
        </is>
      </c>
      <c r="N274" t="inlineStr">
        <is>
          <t>M4</t>
        </is>
      </c>
    </row>
    <row r="275" ht="26" customHeight="1">
      <c r="A275" s="16" t="inlineStr">
        <is>
          <t>ASWD-14</t>
        </is>
      </c>
      <c r="B275" s="17" t="inlineStr">
        <is>
          <t>F1 - Create, view, edit and delete DPOAE test protocols</t>
        </is>
      </c>
      <c r="C275" s="17" t="inlineStr">
        <is>
          <t>Create the DPOAEProtocols table with its parameter value ranges</t>
        </is>
      </c>
      <c r="D275" s="8" t="inlineStr">
        <is>
          <t>DPOAEProtocols entity and EF Core configuration</t>
        </is>
      </c>
      <c r="E275" s="18" t="n">
        <v>7</v>
      </c>
      <c r="F275" s="19">
        <f>E275*F$2</f>
        <v/>
      </c>
      <c r="G275" s="19">
        <f>SUM(E275:F275)*G$2</f>
        <v/>
      </c>
      <c r="H275" s="19">
        <f>G275*H$2</f>
        <v/>
      </c>
      <c r="I275" s="19">
        <f>G275*I$2</f>
        <v/>
      </c>
      <c r="J275" s="19">
        <f>SUM(G275:I275)</f>
        <v/>
      </c>
      <c r="K275" s="19">
        <f>J275/8</f>
        <v/>
      </c>
      <c r="L275" t="inlineStr">
        <is>
          <t>ASWD-14</t>
        </is>
      </c>
      <c r="M275" t="inlineStr">
        <is>
          <t>F1</t>
        </is>
      </c>
      <c r="N275" t="inlineStr">
        <is>
          <t>M4</t>
        </is>
      </c>
    </row>
    <row r="276" ht="26" customHeight="1">
      <c r="A276" s="21" t="n"/>
      <c r="B276" s="21" t="n"/>
      <c r="C276" s="21" t="n"/>
      <c r="D276" s="8" t="inlineStr">
        <is>
          <t>Migration and DbContext wiring</t>
        </is>
      </c>
      <c r="E276" s="18" t="n">
        <v>4</v>
      </c>
      <c r="F276" s="19">
        <f>E276*F$2</f>
        <v/>
      </c>
      <c r="G276" s="19">
        <f>SUM(E276:F276)*G$2</f>
        <v/>
      </c>
      <c r="H276" s="19">
        <f>G276*H$2</f>
        <v/>
      </c>
      <c r="I276" s="19">
        <f>G276*I$2</f>
        <v/>
      </c>
      <c r="J276" s="19">
        <f>SUM(G276:I276)</f>
        <v/>
      </c>
      <c r="K276" s="19">
        <f>J276/8</f>
        <v/>
      </c>
      <c r="L276" t="inlineStr">
        <is>
          <t>ASWD-14</t>
        </is>
      </c>
      <c r="M276" t="inlineStr">
        <is>
          <t>F1</t>
        </is>
      </c>
      <c r="N276" t="inlineStr">
        <is>
          <t>M4</t>
        </is>
      </c>
    </row>
    <row r="277" ht="26" customHeight="1">
      <c r="A277" s="21" t="n"/>
      <c r="B277" s="21" t="n"/>
      <c r="C277" s="20" t="n"/>
      <c r="D277" s="8" t="inlineStr">
        <is>
          <t>Repository and service methods</t>
        </is>
      </c>
      <c r="E277" s="18" t="n">
        <v>8</v>
      </c>
      <c r="F277" s="19">
        <f>E277*F$2</f>
        <v/>
      </c>
      <c r="G277" s="19">
        <f>SUM(E277:F277)*G$2</f>
        <v/>
      </c>
      <c r="H277" s="19">
        <f>G277*H$2</f>
        <v/>
      </c>
      <c r="I277" s="19">
        <f>G277*I$2</f>
        <v/>
      </c>
      <c r="J277" s="19">
        <f>SUM(G277:I277)</f>
        <v/>
      </c>
      <c r="K277" s="19">
        <f>J277/8</f>
        <v/>
      </c>
      <c r="L277" t="inlineStr">
        <is>
          <t>ASWD-14</t>
        </is>
      </c>
      <c r="M277" t="inlineStr">
        <is>
          <t>F1</t>
        </is>
      </c>
      <c r="N277" t="inlineStr">
        <is>
          <t>M4</t>
        </is>
      </c>
    </row>
    <row r="278" ht="26" customHeight="1">
      <c r="A278" s="21" t="n"/>
      <c r="B278" s="21" t="n"/>
      <c r="C278" s="17" t="inlineStr">
        <is>
          <t>View, create, edit and delete DPOAE protocols</t>
        </is>
      </c>
      <c r="D278" s="8" t="inlineStr">
        <is>
          <t>Core model and service</t>
        </is>
      </c>
      <c r="E278" s="18" t="n">
        <v>6</v>
      </c>
      <c r="F278" s="19">
        <f>E278*F$2</f>
        <v/>
      </c>
      <c r="G278" s="19">
        <f>SUM(E278:F278)*G$2</f>
        <v/>
      </c>
      <c r="H278" s="19">
        <f>G278*H$2</f>
        <v/>
      </c>
      <c r="I278" s="19">
        <f>G278*I$2</f>
        <v/>
      </c>
      <c r="J278" s="19">
        <f>SUM(G278:I278)</f>
        <v/>
      </c>
      <c r="K278" s="19">
        <f>J278/8</f>
        <v/>
      </c>
      <c r="L278" t="inlineStr">
        <is>
          <t>ASWD-14</t>
        </is>
      </c>
      <c r="M278" t="inlineStr">
        <is>
          <t>F1</t>
        </is>
      </c>
      <c r="N278" t="inlineStr">
        <is>
          <t>M4</t>
        </is>
      </c>
    </row>
    <row r="279" ht="26" customHeight="1">
      <c r="A279" s="21" t="n"/>
      <c r="B279" s="21" t="n"/>
      <c r="C279" s="21" t="n"/>
      <c r="D279" s="8" t="inlineStr">
        <is>
          <t>ViewModel, DTO and converters</t>
        </is>
      </c>
      <c r="E279" s="18" t="n">
        <v>6</v>
      </c>
      <c r="F279" s="19">
        <f>E279*F$2</f>
        <v/>
      </c>
      <c r="G279" s="19">
        <f>SUM(E279:F279)*G$2</f>
        <v/>
      </c>
      <c r="H279" s="19">
        <f>G279*H$2</f>
        <v/>
      </c>
      <c r="I279" s="19">
        <f>G279*I$2</f>
        <v/>
      </c>
      <c r="J279" s="19">
        <f>SUM(G279:I279)</f>
        <v/>
      </c>
      <c r="K279" s="19">
        <f>J279/8</f>
        <v/>
      </c>
      <c r="L279" t="inlineStr">
        <is>
          <t>ASWD-14</t>
        </is>
      </c>
      <c r="M279" t="inlineStr">
        <is>
          <t>F1</t>
        </is>
      </c>
      <c r="N279" t="inlineStr">
        <is>
          <t>M4</t>
        </is>
      </c>
    </row>
    <row r="280" ht="26" customHeight="1">
      <c r="A280" s="21" t="n"/>
      <c r="B280" s="21" t="n"/>
      <c r="C280" s="20" t="n"/>
      <c r="D280" s="8" t="inlineStr">
        <is>
          <t>Screen (XAML) and command wiring</t>
        </is>
      </c>
      <c r="E280" s="18" t="n">
        <v>7</v>
      </c>
      <c r="F280" s="19">
        <f>E280*F$2</f>
        <v/>
      </c>
      <c r="G280" s="19">
        <f>SUM(E280:F280)*G$2</f>
        <v/>
      </c>
      <c r="H280" s="19">
        <f>G280*H$2</f>
        <v/>
      </c>
      <c r="I280" s="19">
        <f>G280*I$2</f>
        <v/>
      </c>
      <c r="J280" s="19">
        <f>SUM(G280:I280)</f>
        <v/>
      </c>
      <c r="K280" s="19">
        <f>J280/8</f>
        <v/>
      </c>
      <c r="L280" t="inlineStr">
        <is>
          <t>ASWD-14</t>
        </is>
      </c>
      <c r="M280" t="inlineStr">
        <is>
          <t>F1</t>
        </is>
      </c>
      <c r="N280" t="inlineStr">
        <is>
          <t>M4</t>
        </is>
      </c>
    </row>
    <row r="281" ht="26" customHeight="1">
      <c r="A281" s="21" t="n"/>
      <c r="B281" s="21" t="n"/>
      <c r="C281" s="17" t="inlineStr">
        <is>
          <t>Wire this screen's Add/Edit/Delete and Save/Revert/Undo onto Epic 2 F2's shared framework, replacing any local copy</t>
        </is>
      </c>
      <c r="D281" s="8" t="inlineStr">
        <is>
          <t>Core model and service</t>
        </is>
      </c>
      <c r="E281" s="18" t="n">
        <v>3</v>
      </c>
      <c r="F281" s="19">
        <f>E281*F$2</f>
        <v/>
      </c>
      <c r="G281" s="19">
        <f>SUM(E281:F281)*G$2</f>
        <v/>
      </c>
      <c r="H281" s="19">
        <f>G281*H$2</f>
        <v/>
      </c>
      <c r="I281" s="19">
        <f>G281*I$2</f>
        <v/>
      </c>
      <c r="J281" s="19">
        <f>SUM(G281:I281)</f>
        <v/>
      </c>
      <c r="K281" s="19">
        <f>J281/8</f>
        <v/>
      </c>
      <c r="L281" t="inlineStr">
        <is>
          <t>ASWD-14</t>
        </is>
      </c>
      <c r="M281" t="inlineStr">
        <is>
          <t>F1</t>
        </is>
      </c>
      <c r="N281" t="inlineStr">
        <is>
          <t>M4</t>
        </is>
      </c>
    </row>
    <row r="282" ht="26" customHeight="1">
      <c r="A282" s="21" t="n"/>
      <c r="B282" s="21" t="n"/>
      <c r="C282" s="21" t="n"/>
      <c r="D282" s="8" t="inlineStr">
        <is>
          <t>ViewModel, DTO and converters</t>
        </is>
      </c>
      <c r="E282" s="18" t="n">
        <v>2</v>
      </c>
      <c r="F282" s="19">
        <f>E282*F$2</f>
        <v/>
      </c>
      <c r="G282" s="19">
        <f>SUM(E282:F282)*G$2</f>
        <v/>
      </c>
      <c r="H282" s="19">
        <f>G282*H$2</f>
        <v/>
      </c>
      <c r="I282" s="19">
        <f>G282*I$2</f>
        <v/>
      </c>
      <c r="J282" s="19">
        <f>SUM(G282:I282)</f>
        <v/>
      </c>
      <c r="K282" s="19">
        <f>J282/8</f>
        <v/>
      </c>
      <c r="L282" t="inlineStr">
        <is>
          <t>ASWD-14</t>
        </is>
      </c>
      <c r="M282" t="inlineStr">
        <is>
          <t>F1</t>
        </is>
      </c>
      <c r="N282" t="inlineStr">
        <is>
          <t>M4</t>
        </is>
      </c>
    </row>
    <row r="283" ht="26" customHeight="1">
      <c r="A283" s="20" t="n"/>
      <c r="B283" s="20" t="n"/>
      <c r="C283" s="20" t="n"/>
      <c r="D283" s="8" t="inlineStr">
        <is>
          <t>Screen (XAML) and command wiring</t>
        </is>
      </c>
      <c r="E283" s="18" t="n">
        <v>2</v>
      </c>
      <c r="F283" s="19">
        <f>E283*F$2</f>
        <v/>
      </c>
      <c r="G283" s="19">
        <f>SUM(E283:F283)*G$2</f>
        <v/>
      </c>
      <c r="H283" s="19">
        <f>G283*H$2</f>
        <v/>
      </c>
      <c r="I283" s="19">
        <f>G283*I$2</f>
        <v/>
      </c>
      <c r="J283" s="19">
        <f>SUM(G283:I283)</f>
        <v/>
      </c>
      <c r="K283" s="19">
        <f>J283/8</f>
        <v/>
      </c>
      <c r="L283" t="inlineStr">
        <is>
          <t>ASWD-14</t>
        </is>
      </c>
      <c r="M283" t="inlineStr">
        <is>
          <t>F1</t>
        </is>
      </c>
      <c r="N283" t="inlineStr">
        <is>
          <t>M4</t>
        </is>
      </c>
    </row>
    <row r="284" ht="26" customHeight="1">
      <c r="A284" s="16" t="inlineStr">
        <is>
          <t>ASWD-32</t>
        </is>
      </c>
      <c r="B284" s="17" t="inlineStr">
        <is>
          <t>F1 - Exchange foundation: the record layer, settings, selection and de-identification</t>
        </is>
      </c>
      <c r="C284" s="17" t="inlineStr">
        <is>
          <t>Port the record-description and stream layer from AccuLink Component.Core/Core/DataExchange — column attributes, and the flat-file, binary and XML readers and writers</t>
        </is>
      </c>
      <c r="D284" s="8" t="inlineStr">
        <is>
          <t>XML core service</t>
        </is>
      </c>
      <c r="E284" s="18" t="n">
        <v>6</v>
      </c>
      <c r="F284" s="19">
        <f>E284*F$2</f>
        <v/>
      </c>
      <c r="G284" s="19">
        <f>SUM(E284:F284)*G$2</f>
        <v/>
      </c>
      <c r="H284" s="19">
        <f>G284*H$2</f>
        <v/>
      </c>
      <c r="I284" s="19">
        <f>G284*I$2</f>
        <v/>
      </c>
      <c r="J284" s="19">
        <f>SUM(G284:I284)</f>
        <v/>
      </c>
      <c r="K284" s="19">
        <f>J284/8</f>
        <v/>
      </c>
      <c r="L284" t="inlineStr">
        <is>
          <t>ASWD-32</t>
        </is>
      </c>
      <c r="M284" t="inlineStr">
        <is>
          <t>F1</t>
        </is>
      </c>
      <c r="N284" t="inlineStr">
        <is>
          <t>M5</t>
        </is>
      </c>
    </row>
    <row r="285" ht="26" customHeight="1">
      <c r="A285" s="21" t="n"/>
      <c r="B285" s="21" t="n"/>
      <c r="C285" s="21" t="n"/>
      <c r="D285" s="8" t="inlineStr">
        <is>
          <t>XML configuration, import config, export config UI + implementation</t>
        </is>
      </c>
      <c r="E285" s="18" t="n">
        <v>6</v>
      </c>
      <c r="F285" s="19">
        <f>E285*F$2</f>
        <v/>
      </c>
      <c r="G285" s="19">
        <f>SUM(E285:F285)*G$2</f>
        <v/>
      </c>
      <c r="H285" s="19">
        <f>G285*H$2</f>
        <v/>
      </c>
      <c r="I285" s="19">
        <f>G285*I$2</f>
        <v/>
      </c>
      <c r="J285" s="19">
        <f>SUM(G285:I285)</f>
        <v/>
      </c>
      <c r="K285" s="19">
        <f>J285/8</f>
        <v/>
      </c>
      <c r="L285" t="inlineStr">
        <is>
          <t>ASWD-32</t>
        </is>
      </c>
      <c r="M285" t="inlineStr">
        <is>
          <t>F1</t>
        </is>
      </c>
      <c r="N285" t="inlineStr">
        <is>
          <t>M5</t>
        </is>
      </c>
    </row>
    <row r="286" ht="26" customHeight="1">
      <c r="A286" s="21" t="n"/>
      <c r="B286" s="21" t="n"/>
      <c r="C286" s="20" t="n"/>
      <c r="D286" s="8" t="inlineStr">
        <is>
          <t>Import / Export Assistant UI + implementation</t>
        </is>
      </c>
      <c r="E286" s="18" t="n">
        <v>6</v>
      </c>
      <c r="F286" s="19">
        <f>E286*F$2</f>
        <v/>
      </c>
      <c r="G286" s="19">
        <f>SUM(E286:F286)*G$2</f>
        <v/>
      </c>
      <c r="H286" s="19">
        <f>G286*H$2</f>
        <v/>
      </c>
      <c r="I286" s="19">
        <f>G286*I$2</f>
        <v/>
      </c>
      <c r="J286" s="19">
        <f>SUM(G286:I286)</f>
        <v/>
      </c>
      <c r="K286" s="19">
        <f>J286/8</f>
        <v/>
      </c>
      <c r="L286" t="inlineStr">
        <is>
          <t>ASWD-32</t>
        </is>
      </c>
      <c r="M286" t="inlineStr">
        <is>
          <t>F1</t>
        </is>
      </c>
      <c r="N286" t="inlineStr">
        <is>
          <t>M5</t>
        </is>
      </c>
    </row>
    <row r="287" ht="26" customHeight="1">
      <c r="A287" s="21" t="n"/>
      <c r="B287" s="21" t="n"/>
      <c r="C287" s="17" t="inlineStr">
        <is>
          <t>Create ImportConfiguration and ExportConfiguration and save the settings</t>
        </is>
      </c>
      <c r="D287" s="8" t="inlineStr">
        <is>
          <t>Settings entity and storage</t>
        </is>
      </c>
      <c r="E287" s="18" t="n">
        <v>6</v>
      </c>
      <c r="F287" s="19">
        <f>E287*F$2</f>
        <v/>
      </c>
      <c r="G287" s="19">
        <f>SUM(E287:F287)*G$2</f>
        <v/>
      </c>
      <c r="H287" s="19">
        <f>G287*H$2</f>
        <v/>
      </c>
      <c r="I287" s="19">
        <f>G287*I$2</f>
        <v/>
      </c>
      <c r="J287" s="19">
        <f>SUM(G287:I287)</f>
        <v/>
      </c>
      <c r="K287" s="19">
        <f>J287/8</f>
        <v/>
      </c>
      <c r="L287" t="inlineStr">
        <is>
          <t>ASWD-32</t>
        </is>
      </c>
      <c r="M287" t="inlineStr">
        <is>
          <t>F1</t>
        </is>
      </c>
      <c r="N287" t="inlineStr">
        <is>
          <t>M5</t>
        </is>
      </c>
    </row>
    <row r="288" ht="26" customHeight="1">
      <c r="A288" s="21" t="n"/>
      <c r="B288" s="21" t="n"/>
      <c r="C288" s="21" t="n"/>
      <c r="D288" s="8" t="inlineStr">
        <is>
          <t>Configuration screen and validation</t>
        </is>
      </c>
      <c r="E288" s="18" t="n">
        <v>4</v>
      </c>
      <c r="F288" s="19">
        <f>E288*F$2</f>
        <v/>
      </c>
      <c r="G288" s="19">
        <f>SUM(E288:F288)*G$2</f>
        <v/>
      </c>
      <c r="H288" s="19">
        <f>G288*H$2</f>
        <v/>
      </c>
      <c r="I288" s="19">
        <f>G288*I$2</f>
        <v/>
      </c>
      <c r="J288" s="19">
        <f>SUM(G288:I288)</f>
        <v/>
      </c>
      <c r="K288" s="19">
        <f>J288/8</f>
        <v/>
      </c>
      <c r="L288" t="inlineStr">
        <is>
          <t>ASWD-32</t>
        </is>
      </c>
      <c r="M288" t="inlineStr">
        <is>
          <t>F1</t>
        </is>
      </c>
      <c r="N288" t="inlineStr">
        <is>
          <t>M5</t>
        </is>
      </c>
    </row>
    <row r="289" ht="26" customHeight="1">
      <c r="A289" s="21" t="n"/>
      <c r="B289" s="21" t="n"/>
      <c r="C289" s="20" t="n"/>
      <c r="D289" s="8" t="inlineStr">
        <is>
          <t>Apply the setting everywhere it is read</t>
        </is>
      </c>
      <c r="E289" s="18" t="n">
        <v>5</v>
      </c>
      <c r="F289" s="19">
        <f>E289*F$2</f>
        <v/>
      </c>
      <c r="G289" s="19">
        <f>SUM(E289:F289)*G$2</f>
        <v/>
      </c>
      <c r="H289" s="19">
        <f>G289*H$2</f>
        <v/>
      </c>
      <c r="I289" s="19">
        <f>G289*I$2</f>
        <v/>
      </c>
      <c r="J289" s="19">
        <f>SUM(G289:I289)</f>
        <v/>
      </c>
      <c r="K289" s="19">
        <f>J289/8</f>
        <v/>
      </c>
      <c r="L289" t="inlineStr">
        <is>
          <t>ASWD-32</t>
        </is>
      </c>
      <c r="M289" t="inlineStr">
        <is>
          <t>F1</t>
        </is>
      </c>
      <c r="N289" t="inlineStr">
        <is>
          <t>M5</t>
        </is>
      </c>
    </row>
    <row r="290" ht="26" customHeight="1">
      <c r="A290" s="21" t="n"/>
      <c r="B290" s="21" t="n"/>
      <c r="C290" s="17" t="inlineStr">
        <is>
          <t>Choose the export folder, format, and default format (GID-256274, GID-256286, GID-256512)</t>
        </is>
      </c>
      <c r="D290" s="8" t="inlineStr">
        <is>
          <t>Settings entity and storage</t>
        </is>
      </c>
      <c r="E290" s="18" t="n">
        <v>3</v>
      </c>
      <c r="F290" s="19">
        <f>E290*F$2</f>
        <v/>
      </c>
      <c r="G290" s="19">
        <f>SUM(E290:F290)*G$2</f>
        <v/>
      </c>
      <c r="H290" s="19">
        <f>G290*H$2</f>
        <v/>
      </c>
      <c r="I290" s="19">
        <f>G290*I$2</f>
        <v/>
      </c>
      <c r="J290" s="19">
        <f>SUM(G290:I290)</f>
        <v/>
      </c>
      <c r="K290" s="19">
        <f>J290/8</f>
        <v/>
      </c>
      <c r="L290" t="inlineStr">
        <is>
          <t>ASWD-32</t>
        </is>
      </c>
      <c r="M290" t="inlineStr">
        <is>
          <t>F1</t>
        </is>
      </c>
      <c r="N290" t="inlineStr">
        <is>
          <t>M5</t>
        </is>
      </c>
    </row>
    <row r="291" ht="26" customHeight="1">
      <c r="A291" s="21" t="n"/>
      <c r="B291" s="21" t="n"/>
      <c r="C291" s="21" t="n"/>
      <c r="D291" s="8" t="inlineStr">
        <is>
          <t>Configuration screen and validation</t>
        </is>
      </c>
      <c r="E291" s="18" t="n">
        <v>4</v>
      </c>
      <c r="F291" s="19">
        <f>E291*F$2</f>
        <v/>
      </c>
      <c r="G291" s="19">
        <f>SUM(E291:F291)*G$2</f>
        <v/>
      </c>
      <c r="H291" s="19">
        <f>G291*H$2</f>
        <v/>
      </c>
      <c r="I291" s="19">
        <f>G291*I$2</f>
        <v/>
      </c>
      <c r="J291" s="19">
        <f>SUM(G291:I291)</f>
        <v/>
      </c>
      <c r="K291" s="19">
        <f>J291/8</f>
        <v/>
      </c>
      <c r="L291" t="inlineStr">
        <is>
          <t>ASWD-32</t>
        </is>
      </c>
      <c r="M291" t="inlineStr">
        <is>
          <t>F1</t>
        </is>
      </c>
      <c r="N291" t="inlineStr">
        <is>
          <t>M5</t>
        </is>
      </c>
    </row>
    <row r="292" ht="26" customHeight="1">
      <c r="A292" s="21" t="n"/>
      <c r="B292" s="21" t="n"/>
      <c r="C292" s="20" t="n"/>
      <c r="D292" s="8" t="inlineStr">
        <is>
          <t>Apply the setting everywhere it is read</t>
        </is>
      </c>
      <c r="E292" s="18" t="n">
        <v>2</v>
      </c>
      <c r="F292" s="19">
        <f>E292*F$2</f>
        <v/>
      </c>
      <c r="G292" s="19">
        <f>SUM(E292:F292)*G$2</f>
        <v/>
      </c>
      <c r="H292" s="19">
        <f>G292*H$2</f>
        <v/>
      </c>
      <c r="I292" s="19">
        <f>G292*I$2</f>
        <v/>
      </c>
      <c r="J292" s="19">
        <f>SUM(G292:I292)</f>
        <v/>
      </c>
      <c r="K292" s="19">
        <f>J292/8</f>
        <v/>
      </c>
      <c r="L292" t="inlineStr">
        <is>
          <t>ASWD-32</t>
        </is>
      </c>
      <c r="M292" t="inlineStr">
        <is>
          <t>F1</t>
        </is>
      </c>
      <c r="N292" t="inlineStr">
        <is>
          <t>M5</t>
        </is>
      </c>
    </row>
    <row r="293" ht="26" customHeight="1">
      <c r="A293" s="21" t="n"/>
      <c r="B293" s="21" t="n"/>
      <c r="C293" s="17" t="inlineStr">
        <is>
          <t>Export new patients / all patients / selected entries / a test date range (GID-256275 to GID-256278)</t>
        </is>
      </c>
      <c r="D293" s="8" t="inlineStr">
        <is>
          <t>Core model and service</t>
        </is>
      </c>
      <c r="E293" s="18" t="n">
        <v>4</v>
      </c>
      <c r="F293" s="19">
        <f>E293*F$2</f>
        <v/>
      </c>
      <c r="G293" s="19">
        <f>SUM(E293:F293)*G$2</f>
        <v/>
      </c>
      <c r="H293" s="19">
        <f>G293*H$2</f>
        <v/>
      </c>
      <c r="I293" s="19">
        <f>G293*I$2</f>
        <v/>
      </c>
      <c r="J293" s="19">
        <f>SUM(G293:I293)</f>
        <v/>
      </c>
      <c r="K293" s="19">
        <f>J293/8</f>
        <v/>
      </c>
      <c r="L293" t="inlineStr">
        <is>
          <t>ASWD-32</t>
        </is>
      </c>
      <c r="M293" t="inlineStr">
        <is>
          <t>F1</t>
        </is>
      </c>
      <c r="N293" t="inlineStr">
        <is>
          <t>M5</t>
        </is>
      </c>
    </row>
    <row r="294" ht="26" customHeight="1">
      <c r="A294" s="21" t="n"/>
      <c r="B294" s="21" t="n"/>
      <c r="C294" s="21" t="n"/>
      <c r="D294" s="8" t="inlineStr">
        <is>
          <t>ViewModel, DTO and converters</t>
        </is>
      </c>
      <c r="E294" s="18" t="n">
        <v>6</v>
      </c>
      <c r="F294" s="19">
        <f>E294*F$2</f>
        <v/>
      </c>
      <c r="G294" s="19">
        <f>SUM(E294:F294)*G$2</f>
        <v/>
      </c>
      <c r="H294" s="19">
        <f>G294*H$2</f>
        <v/>
      </c>
      <c r="I294" s="19">
        <f>G294*I$2</f>
        <v/>
      </c>
      <c r="J294" s="19">
        <f>SUM(G294:I294)</f>
        <v/>
      </c>
      <c r="K294" s="19">
        <f>J294/8</f>
        <v/>
      </c>
      <c r="L294" t="inlineStr">
        <is>
          <t>ASWD-32</t>
        </is>
      </c>
      <c r="M294" t="inlineStr">
        <is>
          <t>F1</t>
        </is>
      </c>
      <c r="N294" t="inlineStr">
        <is>
          <t>M5</t>
        </is>
      </c>
    </row>
    <row r="295" ht="26" customHeight="1">
      <c r="A295" s="21" t="n"/>
      <c r="B295" s="21" t="n"/>
      <c r="C295" s="20" t="n"/>
      <c r="D295" s="8" t="inlineStr">
        <is>
          <t>Screen (XAML) and command wiring</t>
        </is>
      </c>
      <c r="E295" s="18" t="n">
        <v>6</v>
      </c>
      <c r="F295" s="19">
        <f>E295*F$2</f>
        <v/>
      </c>
      <c r="G295" s="19">
        <f>SUM(E295:F295)*G$2</f>
        <v/>
      </c>
      <c r="H295" s="19">
        <f>G295*H$2</f>
        <v/>
      </c>
      <c r="I295" s="19">
        <f>G295*I$2</f>
        <v/>
      </c>
      <c r="J295" s="19">
        <f>SUM(G295:I295)</f>
        <v/>
      </c>
      <c r="K295" s="19">
        <f>J295/8</f>
        <v/>
      </c>
      <c r="L295" t="inlineStr">
        <is>
          <t>ASWD-32</t>
        </is>
      </c>
      <c r="M295" t="inlineStr">
        <is>
          <t>F1</t>
        </is>
      </c>
      <c r="N295" t="inlineStr">
        <is>
          <t>M5</t>
        </is>
      </c>
    </row>
    <row r="296" ht="26" customHeight="1">
      <c r="A296" s="21" t="n"/>
      <c r="B296" s="21" t="n"/>
      <c r="C296" s="17" t="inlineStr">
        <is>
          <t>Strip demographics and identifiers before export (GID-256279)</t>
        </is>
      </c>
      <c r="D296" s="8" t="inlineStr">
        <is>
          <t>Core model and service</t>
        </is>
      </c>
      <c r="E296" s="18" t="n">
        <v>2</v>
      </c>
      <c r="F296" s="19">
        <f>E296*F$2</f>
        <v/>
      </c>
      <c r="G296" s="19">
        <f>SUM(E296:F296)*G$2</f>
        <v/>
      </c>
      <c r="H296" s="19">
        <f>G296*H$2</f>
        <v/>
      </c>
      <c r="I296" s="19">
        <f>G296*I$2</f>
        <v/>
      </c>
      <c r="J296" s="19">
        <f>SUM(G296:I296)</f>
        <v/>
      </c>
      <c r="K296" s="19">
        <f>J296/8</f>
        <v/>
      </c>
      <c r="L296" t="inlineStr">
        <is>
          <t>ASWD-32</t>
        </is>
      </c>
      <c r="M296" t="inlineStr">
        <is>
          <t>F1</t>
        </is>
      </c>
      <c r="N296" t="inlineStr">
        <is>
          <t>M5</t>
        </is>
      </c>
    </row>
    <row r="297" ht="26" customHeight="1">
      <c r="A297" s="21" t="n"/>
      <c r="B297" s="21" t="n"/>
      <c r="C297" s="21" t="n"/>
      <c r="D297" s="8" t="inlineStr">
        <is>
          <t>ViewModel, DTO and converters</t>
        </is>
      </c>
      <c r="E297" s="18" t="n">
        <v>1</v>
      </c>
      <c r="F297" s="19">
        <f>E297*F$2</f>
        <v/>
      </c>
      <c r="G297" s="19">
        <f>SUM(E297:F297)*G$2</f>
        <v/>
      </c>
      <c r="H297" s="19">
        <f>G297*H$2</f>
        <v/>
      </c>
      <c r="I297" s="19">
        <f>G297*I$2</f>
        <v/>
      </c>
      <c r="J297" s="19">
        <f>SUM(G297:I297)</f>
        <v/>
      </c>
      <c r="K297" s="19">
        <f>J297/8</f>
        <v/>
      </c>
      <c r="L297" t="inlineStr">
        <is>
          <t>ASWD-32</t>
        </is>
      </c>
      <c r="M297" t="inlineStr">
        <is>
          <t>F1</t>
        </is>
      </c>
      <c r="N297" t="inlineStr">
        <is>
          <t>M5</t>
        </is>
      </c>
    </row>
    <row r="298" ht="26" customHeight="1">
      <c r="A298" s="21" t="n"/>
      <c r="B298" s="21" t="n"/>
      <c r="C298" s="20" t="n"/>
      <c r="D298" s="8" t="inlineStr">
        <is>
          <t>Screen (XAML) and command wiring</t>
        </is>
      </c>
      <c r="E298" s="18" t="n">
        <v>2</v>
      </c>
      <c r="F298" s="19">
        <f>E298*F$2</f>
        <v/>
      </c>
      <c r="G298" s="19">
        <f>SUM(E298:F298)*G$2</f>
        <v/>
      </c>
      <c r="H298" s="19">
        <f>G298*H$2</f>
        <v/>
      </c>
      <c r="I298" s="19">
        <f>G298*I$2</f>
        <v/>
      </c>
      <c r="J298" s="19">
        <f>SUM(G298:I298)</f>
        <v/>
      </c>
      <c r="K298" s="19">
        <f>J298/8</f>
        <v/>
      </c>
      <c r="L298" t="inlineStr">
        <is>
          <t>ASWD-32</t>
        </is>
      </c>
      <c r="M298" t="inlineStr">
        <is>
          <t>F1</t>
        </is>
      </c>
      <c r="N298" t="inlineStr">
        <is>
          <t>M5</t>
        </is>
      </c>
    </row>
    <row r="299" ht="26" customHeight="1">
      <c r="A299" s="21" t="n"/>
      <c r="B299" s="21" t="n"/>
      <c r="C299" s="17" t="inlineStr">
        <is>
          <t>Connect every parser and writer to the patient repository, so an import is stored and an export reads real data</t>
        </is>
      </c>
      <c r="D299" s="8" t="inlineStr">
        <is>
          <t>Patient core service</t>
        </is>
      </c>
      <c r="E299" s="18" t="n">
        <v>6</v>
      </c>
      <c r="F299" s="19">
        <f>E299*F$2</f>
        <v/>
      </c>
      <c r="G299" s="19">
        <f>SUM(E299:F299)*G$2</f>
        <v/>
      </c>
      <c r="H299" s="19">
        <f>G299*H$2</f>
        <v/>
      </c>
      <c r="I299" s="19">
        <f>G299*I$2</f>
        <v/>
      </c>
      <c r="J299" s="19">
        <f>SUM(G299:I299)</f>
        <v/>
      </c>
      <c r="K299" s="19">
        <f>J299/8</f>
        <v/>
      </c>
      <c r="L299" t="inlineStr">
        <is>
          <t>ASWD-32</t>
        </is>
      </c>
      <c r="M299" t="inlineStr">
        <is>
          <t>F1</t>
        </is>
      </c>
      <c r="N299" t="inlineStr">
        <is>
          <t>M5</t>
        </is>
      </c>
    </row>
    <row r="300" ht="26" customHeight="1">
      <c r="A300" s="21" t="n"/>
      <c r="B300" s="21" t="n"/>
      <c r="C300" s="21" t="n"/>
      <c r="D300" s="8" t="inlineStr">
        <is>
          <t>Patient configuration, import config, export config UI + implementation</t>
        </is>
      </c>
      <c r="E300" s="18" t="n">
        <v>5</v>
      </c>
      <c r="F300" s="19">
        <f>E300*F$2</f>
        <v/>
      </c>
      <c r="G300" s="19">
        <f>SUM(E300:F300)*G$2</f>
        <v/>
      </c>
      <c r="H300" s="19">
        <f>G300*H$2</f>
        <v/>
      </c>
      <c r="I300" s="19">
        <f>G300*I$2</f>
        <v/>
      </c>
      <c r="J300" s="19">
        <f>SUM(G300:I300)</f>
        <v/>
      </c>
      <c r="K300" s="19">
        <f>J300/8</f>
        <v/>
      </c>
      <c r="L300" t="inlineStr">
        <is>
          <t>ASWD-32</t>
        </is>
      </c>
      <c r="M300" t="inlineStr">
        <is>
          <t>F1</t>
        </is>
      </c>
      <c r="N300" t="inlineStr">
        <is>
          <t>M5</t>
        </is>
      </c>
    </row>
    <row r="301" ht="26" customHeight="1">
      <c r="A301" s="21" t="n"/>
      <c r="B301" s="20" t="n"/>
      <c r="C301" s="20" t="n"/>
      <c r="D301" s="8" t="inlineStr">
        <is>
          <t>Import / Export Assistant UI + implementation</t>
        </is>
      </c>
      <c r="E301" s="18" t="n">
        <v>2</v>
      </c>
      <c r="F301" s="19">
        <f>E301*F$2</f>
        <v/>
      </c>
      <c r="G301" s="19">
        <f>SUM(E301:F301)*G$2</f>
        <v/>
      </c>
      <c r="H301" s="19">
        <f>G301*H$2</f>
        <v/>
      </c>
      <c r="I301" s="19">
        <f>G301*I$2</f>
        <v/>
      </c>
      <c r="J301" s="19">
        <f>SUM(G301:I301)</f>
        <v/>
      </c>
      <c r="K301" s="19">
        <f>J301/8</f>
        <v/>
      </c>
      <c r="L301" t="inlineStr">
        <is>
          <t>ASWD-32</t>
        </is>
      </c>
      <c r="M301" t="inlineStr">
        <is>
          <t>F1</t>
        </is>
      </c>
      <c r="N301" t="inlineStr">
        <is>
          <t>M5</t>
        </is>
      </c>
    </row>
    <row r="302" ht="26" customHeight="1">
      <c r="A302" s="21" t="n"/>
      <c r="B302" s="17" t="inlineStr">
        <is>
          <t>F2 - AccuSync XML and JSON — import and export</t>
        </is>
      </c>
      <c r="C302" s="17" t="inlineStr">
        <is>
          <t>Agree and write down the AccuSync XML and JSON layout</t>
        </is>
      </c>
      <c r="D302" s="8" t="inlineStr">
        <is>
          <t>Timeboxed spike against the real data, file or device</t>
        </is>
      </c>
      <c r="E302" s="18" t="n">
        <v>8</v>
      </c>
      <c r="F302" s="19">
        <f>E302*F$2</f>
        <v/>
      </c>
      <c r="G302" s="19">
        <f>SUM(E302:F302)*G$2</f>
        <v/>
      </c>
      <c r="H302" s="19">
        <f>G302*H$2</f>
        <v/>
      </c>
      <c r="I302" s="19">
        <f>G302*I$2</f>
        <v/>
      </c>
      <c r="J302" s="19">
        <f>SUM(G302:I302)</f>
        <v/>
      </c>
      <c r="K302" s="19">
        <f>J302/8</f>
        <v/>
      </c>
      <c r="L302" t="inlineStr">
        <is>
          <t>ASWD-32</t>
        </is>
      </c>
      <c r="M302" t="inlineStr">
        <is>
          <t>F2</t>
        </is>
      </c>
      <c r="N302" t="inlineStr">
        <is>
          <t>M5</t>
        </is>
      </c>
    </row>
    <row r="303" ht="26" customHeight="1">
      <c r="A303" s="21" t="n"/>
      <c r="B303" s="21" t="n"/>
      <c r="C303" s="20" t="n"/>
      <c r="D303" s="8" t="inlineStr">
        <is>
          <t>Write up the findings and the decision</t>
        </is>
      </c>
      <c r="E303" s="18" t="n">
        <v>6</v>
      </c>
      <c r="F303" s="19">
        <f>E303*F$2</f>
        <v/>
      </c>
      <c r="G303" s="19">
        <f>SUM(E303:F303)*G$2</f>
        <v/>
      </c>
      <c r="H303" s="19">
        <f>G303*H$2</f>
        <v/>
      </c>
      <c r="I303" s="19">
        <f>G303*I$2</f>
        <v/>
      </c>
      <c r="J303" s="19">
        <f>SUM(G303:I303)</f>
        <v/>
      </c>
      <c r="K303" s="19">
        <f>J303/8</f>
        <v/>
      </c>
      <c r="L303" t="inlineStr">
        <is>
          <t>ASWD-32</t>
        </is>
      </c>
      <c r="M303" t="inlineStr">
        <is>
          <t>F2</t>
        </is>
      </c>
      <c r="N303" t="inlineStr">
        <is>
          <t>M5</t>
        </is>
      </c>
    </row>
    <row r="304" ht="26" customHeight="1">
      <c r="A304" s="21" t="n"/>
      <c r="B304" s="21" t="n"/>
      <c r="C304" s="17" t="inlineStr">
        <is>
          <t>AccuSync XML and JSON parsers</t>
        </is>
      </c>
      <c r="D304" s="8" t="inlineStr">
        <is>
          <t>AccuSync XML and JSON parsers</t>
        </is>
      </c>
      <c r="E304" s="18" t="n">
        <v>6</v>
      </c>
      <c r="F304" s="19">
        <f>E304*F$2</f>
        <v/>
      </c>
      <c r="G304" s="19">
        <f>SUM(E304:F304)*G$2</f>
        <v/>
      </c>
      <c r="H304" s="19">
        <f>G304*H$2</f>
        <v/>
      </c>
      <c r="I304" s="19">
        <f>G304*I$2</f>
        <v/>
      </c>
      <c r="J304" s="19">
        <f>SUM(G304:I304)</f>
        <v/>
      </c>
      <c r="K304" s="19">
        <f>J304/8</f>
        <v/>
      </c>
      <c r="L304" t="inlineStr">
        <is>
          <t>ASWD-32</t>
        </is>
      </c>
      <c r="M304" t="inlineStr">
        <is>
          <t>F2</t>
        </is>
      </c>
      <c r="N304" t="inlineStr">
        <is>
          <t>M5</t>
        </is>
      </c>
    </row>
    <row r="305" ht="26" customHeight="1">
      <c r="A305" s="21" t="n"/>
      <c r="B305" s="21" t="n"/>
      <c r="C305" s="17" t="inlineStr">
        <is>
          <t>AccuSync XML and JSON writers with the required file names (GID-256280, GID-256281)</t>
        </is>
      </c>
      <c r="D305" s="8" t="inlineStr">
        <is>
          <t>AccuSync core service</t>
        </is>
      </c>
      <c r="E305" s="18" t="n">
        <v>5</v>
      </c>
      <c r="F305" s="19">
        <f>E305*F$2</f>
        <v/>
      </c>
      <c r="G305" s="19">
        <f>SUM(E305:F305)*G$2</f>
        <v/>
      </c>
      <c r="H305" s="19">
        <f>G305*H$2</f>
        <v/>
      </c>
      <c r="I305" s="19">
        <f>G305*I$2</f>
        <v/>
      </c>
      <c r="J305" s="19">
        <f>SUM(G305:I305)</f>
        <v/>
      </c>
      <c r="K305" s="19">
        <f>J305/8</f>
        <v/>
      </c>
      <c r="L305" t="inlineStr">
        <is>
          <t>ASWD-32</t>
        </is>
      </c>
      <c r="M305" t="inlineStr">
        <is>
          <t>F2</t>
        </is>
      </c>
      <c r="N305" t="inlineStr">
        <is>
          <t>M5</t>
        </is>
      </c>
    </row>
    <row r="306" ht="26" customHeight="1">
      <c r="A306" s="21" t="n"/>
      <c r="B306" s="21" t="n"/>
      <c r="C306" s="21" t="n"/>
      <c r="D306" s="8" t="inlineStr">
        <is>
          <t>AccuSync configuration, import config, export config UI + implementation</t>
        </is>
      </c>
      <c r="E306" s="18" t="n">
        <v>5</v>
      </c>
      <c r="F306" s="19">
        <f>E306*F$2</f>
        <v/>
      </c>
      <c r="G306" s="19">
        <f>SUM(E306:F306)*G$2</f>
        <v/>
      </c>
      <c r="H306" s="19">
        <f>G306*H$2</f>
        <v/>
      </c>
      <c r="I306" s="19">
        <f>G306*I$2</f>
        <v/>
      </c>
      <c r="J306" s="19">
        <f>SUM(G306:I306)</f>
        <v/>
      </c>
      <c r="K306" s="19">
        <f>J306/8</f>
        <v/>
      </c>
      <c r="L306" t="inlineStr">
        <is>
          <t>ASWD-32</t>
        </is>
      </c>
      <c r="M306" t="inlineStr">
        <is>
          <t>F2</t>
        </is>
      </c>
      <c r="N306" t="inlineStr">
        <is>
          <t>M5</t>
        </is>
      </c>
    </row>
    <row r="307" ht="26" customHeight="1">
      <c r="A307" s="21" t="n"/>
      <c r="B307" s="20" t="n"/>
      <c r="C307" s="20" t="n"/>
      <c r="D307" s="8" t="inlineStr">
        <is>
          <t>Import / Export Assistant UI + implementation</t>
        </is>
      </c>
      <c r="E307" s="18" t="n">
        <v>4</v>
      </c>
      <c r="F307" s="19">
        <f>E307*F$2</f>
        <v/>
      </c>
      <c r="G307" s="19">
        <f>SUM(E307:F307)*G$2</f>
        <v/>
      </c>
      <c r="H307" s="19">
        <f>G307*H$2</f>
        <v/>
      </c>
      <c r="I307" s="19">
        <f>G307*I$2</f>
        <v/>
      </c>
      <c r="J307" s="19">
        <f>SUM(G307:I307)</f>
        <v/>
      </c>
      <c r="K307" s="19">
        <f>J307/8</f>
        <v/>
      </c>
      <c r="L307" t="inlineStr">
        <is>
          <t>ASWD-32</t>
        </is>
      </c>
      <c r="M307" t="inlineStr">
        <is>
          <t>F2</t>
        </is>
      </c>
      <c r="N307" t="inlineStr">
        <is>
          <t>M5</t>
        </is>
      </c>
    </row>
    <row r="308" ht="26" customHeight="1">
      <c r="A308" s="21" t="n"/>
      <c r="B308" s="17" t="inlineStr">
        <is>
          <t>F3 - CSV — import and export</t>
        </is>
      </c>
      <c r="C308" s="17" t="inlineStr">
        <is>
          <t>CSV writer (GID-256284)</t>
        </is>
      </c>
      <c r="D308" s="8" t="inlineStr">
        <is>
          <t>CSV core service</t>
        </is>
      </c>
      <c r="E308" s="18" t="n">
        <v>6</v>
      </c>
      <c r="F308" s="19">
        <f>E308*F$2</f>
        <v/>
      </c>
      <c r="G308" s="19">
        <f>SUM(E308:F308)*G$2</f>
        <v/>
      </c>
      <c r="H308" s="19">
        <f>G308*H$2</f>
        <v/>
      </c>
      <c r="I308" s="19">
        <f>G308*I$2</f>
        <v/>
      </c>
      <c r="J308" s="19">
        <f>SUM(G308:I308)</f>
        <v/>
      </c>
      <c r="K308" s="19">
        <f>J308/8</f>
        <v/>
      </c>
      <c r="L308" t="inlineStr">
        <is>
          <t>ASWD-32</t>
        </is>
      </c>
      <c r="M308" t="inlineStr">
        <is>
          <t>F3</t>
        </is>
      </c>
      <c r="N308" t="inlineStr">
        <is>
          <t>M5</t>
        </is>
      </c>
    </row>
    <row r="309" ht="26" customHeight="1">
      <c r="A309" s="21" t="n"/>
      <c r="B309" s="21" t="n"/>
      <c r="C309" s="21" t="n"/>
      <c r="D309" s="8" t="inlineStr">
        <is>
          <t>CSV configuration, import config, export config UI + implementation</t>
        </is>
      </c>
      <c r="E309" s="18" t="n">
        <v>6</v>
      </c>
      <c r="F309" s="19">
        <f>E309*F$2</f>
        <v/>
      </c>
      <c r="G309" s="19">
        <f>SUM(E309:F309)*G$2</f>
        <v/>
      </c>
      <c r="H309" s="19">
        <f>G309*H$2</f>
        <v/>
      </c>
      <c r="I309" s="19">
        <f>G309*I$2</f>
        <v/>
      </c>
      <c r="J309" s="19">
        <f>SUM(G309:I309)</f>
        <v/>
      </c>
      <c r="K309" s="19">
        <f>J309/8</f>
        <v/>
      </c>
      <c r="L309" t="inlineStr">
        <is>
          <t>ASWD-32</t>
        </is>
      </c>
      <c r="M309" t="inlineStr">
        <is>
          <t>F3</t>
        </is>
      </c>
      <c r="N309" t="inlineStr">
        <is>
          <t>M5</t>
        </is>
      </c>
    </row>
    <row r="310" ht="26" customHeight="1">
      <c r="A310" s="21" t="n"/>
      <c r="B310" s="21" t="n"/>
      <c r="C310" s="20" t="n"/>
      <c r="D310" s="8" t="inlineStr">
        <is>
          <t>Import / Export Assistant UI + implementation</t>
        </is>
      </c>
      <c r="E310" s="18" t="n">
        <v>5</v>
      </c>
      <c r="F310" s="19">
        <f>E310*F$2</f>
        <v/>
      </c>
      <c r="G310" s="19">
        <f>SUM(E310:F310)*G$2</f>
        <v/>
      </c>
      <c r="H310" s="19">
        <f>G310*H$2</f>
        <v/>
      </c>
      <c r="I310" s="19">
        <f>G310*I$2</f>
        <v/>
      </c>
      <c r="J310" s="19">
        <f>SUM(G310:I310)</f>
        <v/>
      </c>
      <c r="K310" s="19">
        <f>J310/8</f>
        <v/>
      </c>
      <c r="L310" t="inlineStr">
        <is>
          <t>ASWD-32</t>
        </is>
      </c>
      <c r="M310" t="inlineStr">
        <is>
          <t>F3</t>
        </is>
      </c>
      <c r="N310" t="inlineStr">
        <is>
          <t>M5</t>
        </is>
      </c>
    </row>
    <row r="311" ht="26" customHeight="1">
      <c r="A311" s="21" t="n"/>
      <c r="B311" s="21" t="n"/>
      <c r="C311" s="17" t="inlineStr">
        <is>
          <t>Export the on-screen patient list to CSV — Phase 1 per Natus, covered by GID-254898, and it already works today</t>
        </is>
      </c>
      <c r="D311" s="8" t="inlineStr">
        <is>
          <t>CSV core service</t>
        </is>
      </c>
      <c r="E311" s="18" t="n">
        <v>2</v>
      </c>
      <c r="F311" s="19">
        <f>E311*F$2</f>
        <v/>
      </c>
      <c r="G311" s="19">
        <f>SUM(E311:F311)*G$2</f>
        <v/>
      </c>
      <c r="H311" s="19">
        <f>G311*H$2</f>
        <v/>
      </c>
      <c r="I311" s="19">
        <f>G311*I$2</f>
        <v/>
      </c>
      <c r="J311" s="19">
        <f>SUM(G311:I311)</f>
        <v/>
      </c>
      <c r="K311" s="19">
        <f>J311/8</f>
        <v/>
      </c>
      <c r="L311" t="inlineStr">
        <is>
          <t>ASWD-32</t>
        </is>
      </c>
      <c r="M311" t="inlineStr">
        <is>
          <t>F3</t>
        </is>
      </c>
      <c r="N311" t="inlineStr">
        <is>
          <t>M5</t>
        </is>
      </c>
    </row>
    <row r="312" ht="26" customHeight="1">
      <c r="A312" s="21" t="n"/>
      <c r="B312" s="21" t="n"/>
      <c r="C312" s="21" t="n"/>
      <c r="D312" s="8" t="inlineStr">
        <is>
          <t>CSV configuration, import config, export config UI + implementation</t>
        </is>
      </c>
      <c r="E312" s="18" t="n">
        <v>2</v>
      </c>
      <c r="F312" s="19">
        <f>E312*F$2</f>
        <v/>
      </c>
      <c r="G312" s="19">
        <f>SUM(E312:F312)*G$2</f>
        <v/>
      </c>
      <c r="H312" s="19">
        <f>G312*H$2</f>
        <v/>
      </c>
      <c r="I312" s="19">
        <f>G312*I$2</f>
        <v/>
      </c>
      <c r="J312" s="19">
        <f>SUM(G312:I312)</f>
        <v/>
      </c>
      <c r="K312" s="19">
        <f>J312/8</f>
        <v/>
      </c>
      <c r="L312" t="inlineStr">
        <is>
          <t>ASWD-32</t>
        </is>
      </c>
      <c r="M312" t="inlineStr">
        <is>
          <t>F3</t>
        </is>
      </c>
      <c r="N312" t="inlineStr">
        <is>
          <t>M5</t>
        </is>
      </c>
    </row>
    <row r="313" ht="26" customHeight="1">
      <c r="A313" s="21" t="n"/>
      <c r="B313" s="21" t="n"/>
      <c r="C313" s="20" t="n"/>
      <c r="D313" s="8" t="inlineStr">
        <is>
          <t>Import / Export Assistant UI + implementation</t>
        </is>
      </c>
      <c r="E313" s="18" t="n">
        <v>1</v>
      </c>
      <c r="F313" s="19">
        <f>E313*F$2</f>
        <v/>
      </c>
      <c r="G313" s="19">
        <f>SUM(E313:F313)*G$2</f>
        <v/>
      </c>
      <c r="H313" s="19">
        <f>G313*H$2</f>
        <v/>
      </c>
      <c r="I313" s="19">
        <f>G313*I$2</f>
        <v/>
      </c>
      <c r="J313" s="19">
        <f>SUM(G313:I313)</f>
        <v/>
      </c>
      <c r="K313" s="19">
        <f>J313/8</f>
        <v/>
      </c>
      <c r="L313" t="inlineStr">
        <is>
          <t>ASWD-32</t>
        </is>
      </c>
      <c r="M313" t="inlineStr">
        <is>
          <t>F3</t>
        </is>
      </c>
      <c r="N313" t="inlineStr">
        <is>
          <t>M5</t>
        </is>
      </c>
    </row>
    <row r="314" ht="26" customHeight="1">
      <c r="A314" s="21" t="n"/>
      <c r="B314" s="21" t="n"/>
      <c r="C314" s="17" t="inlineStr">
        <is>
          <t>CSV import matching the writer</t>
        </is>
      </c>
      <c r="D314" s="8" t="inlineStr">
        <is>
          <t>CSV core service</t>
        </is>
      </c>
      <c r="E314" s="18" t="n">
        <v>4</v>
      </c>
      <c r="F314" s="19">
        <f>E314*F$2</f>
        <v/>
      </c>
      <c r="G314" s="19">
        <f>SUM(E314:F314)*G$2</f>
        <v/>
      </c>
      <c r="H314" s="19">
        <f>G314*H$2</f>
        <v/>
      </c>
      <c r="I314" s="19">
        <f>G314*I$2</f>
        <v/>
      </c>
      <c r="J314" s="19">
        <f>SUM(G314:I314)</f>
        <v/>
      </c>
      <c r="K314" s="19">
        <f>J314/8</f>
        <v/>
      </c>
      <c r="L314" t="inlineStr">
        <is>
          <t>ASWD-32</t>
        </is>
      </c>
      <c r="M314" t="inlineStr">
        <is>
          <t>F3</t>
        </is>
      </c>
      <c r="N314" t="inlineStr">
        <is>
          <t>M5</t>
        </is>
      </c>
    </row>
    <row r="315" ht="26" customHeight="1">
      <c r="A315" s="21" t="n"/>
      <c r="B315" s="21" t="n"/>
      <c r="C315" s="21" t="n"/>
      <c r="D315" s="8" t="inlineStr">
        <is>
          <t>CSV configuration, import config, export config UI + implementation</t>
        </is>
      </c>
      <c r="E315" s="18" t="n">
        <v>4</v>
      </c>
      <c r="F315" s="19">
        <f>E315*F$2</f>
        <v/>
      </c>
      <c r="G315" s="19">
        <f>SUM(E315:F315)*G$2</f>
        <v/>
      </c>
      <c r="H315" s="19">
        <f>G315*H$2</f>
        <v/>
      </c>
      <c r="I315" s="19">
        <f>G315*I$2</f>
        <v/>
      </c>
      <c r="J315" s="19">
        <f>SUM(G315:I315)</f>
        <v/>
      </c>
      <c r="K315" s="19">
        <f>J315/8</f>
        <v/>
      </c>
      <c r="L315" t="inlineStr">
        <is>
          <t>ASWD-32</t>
        </is>
      </c>
      <c r="M315" t="inlineStr">
        <is>
          <t>F3</t>
        </is>
      </c>
      <c r="N315" t="inlineStr">
        <is>
          <t>M5</t>
        </is>
      </c>
    </row>
    <row r="316" ht="26" customHeight="1">
      <c r="A316" s="21" t="n"/>
      <c r="B316" s="20" t="n"/>
      <c r="C316" s="20" t="n"/>
      <c r="D316" s="8" t="inlineStr">
        <is>
          <t>Import / Export Assistant UI + implementation</t>
        </is>
      </c>
      <c r="E316" s="18" t="n">
        <v>2</v>
      </c>
      <c r="F316" s="19">
        <f>E316*F$2</f>
        <v/>
      </c>
      <c r="G316" s="19">
        <f>SUM(E316:F316)*G$2</f>
        <v/>
      </c>
      <c r="H316" s="19">
        <f>G316*H$2</f>
        <v/>
      </c>
      <c r="I316" s="19">
        <f>G316*I$2</f>
        <v/>
      </c>
      <c r="J316" s="19">
        <f>SUM(G316:I316)</f>
        <v/>
      </c>
      <c r="K316" s="19">
        <f>J316/8</f>
        <v/>
      </c>
      <c r="L316" t="inlineStr">
        <is>
          <t>ASWD-32</t>
        </is>
      </c>
      <c r="M316" t="inlineStr">
        <is>
          <t>F3</t>
        </is>
      </c>
      <c r="N316" t="inlineStr">
        <is>
          <t>M5</t>
        </is>
      </c>
    </row>
    <row r="317" ht="26" customHeight="1">
      <c r="A317" s="21" t="n"/>
      <c r="B317" s="17" t="inlineStr">
        <is>
          <t>F4 - ALGO 5 XML and ALGO Pro — import and export</t>
        </is>
      </c>
      <c r="C317" s="17" t="inlineStr">
        <is>
          <t>Test harness plus tests for the three existing parsers</t>
        </is>
      </c>
      <c r="D317" s="8" t="inlineStr">
        <is>
          <t>Core model and service</t>
        </is>
      </c>
      <c r="E317" s="18" t="n">
        <v>6</v>
      </c>
      <c r="F317" s="19">
        <f>E317*F$2</f>
        <v/>
      </c>
      <c r="G317" s="19">
        <f>SUM(E317:F317)*G$2</f>
        <v/>
      </c>
      <c r="H317" s="19">
        <f>G317*H$2</f>
        <v/>
      </c>
      <c r="I317" s="19">
        <f>G317*I$2</f>
        <v/>
      </c>
      <c r="J317" s="19">
        <f>SUM(G317:I317)</f>
        <v/>
      </c>
      <c r="K317" s="19">
        <f>J317/8</f>
        <v/>
      </c>
      <c r="L317" t="inlineStr">
        <is>
          <t>ASWD-32</t>
        </is>
      </c>
      <c r="M317" t="inlineStr">
        <is>
          <t>F4</t>
        </is>
      </c>
      <c r="N317" t="inlineStr">
        <is>
          <t>M5</t>
        </is>
      </c>
    </row>
    <row r="318" ht="26" customHeight="1">
      <c r="A318" s="21" t="n"/>
      <c r="B318" s="21" t="n"/>
      <c r="C318" s="21" t="n"/>
      <c r="D318" s="8" t="inlineStr">
        <is>
          <t>ViewModel, DTO and converters</t>
        </is>
      </c>
      <c r="E318" s="18" t="n">
        <v>4</v>
      </c>
      <c r="F318" s="19">
        <f>E318*F$2</f>
        <v/>
      </c>
      <c r="G318" s="19">
        <f>SUM(E318:F318)*G$2</f>
        <v/>
      </c>
      <c r="H318" s="19">
        <f>G318*H$2</f>
        <v/>
      </c>
      <c r="I318" s="19">
        <f>G318*I$2</f>
        <v/>
      </c>
      <c r="J318" s="19">
        <f>SUM(G318:I318)</f>
        <v/>
      </c>
      <c r="K318" s="19">
        <f>J318/8</f>
        <v/>
      </c>
      <c r="L318" t="inlineStr">
        <is>
          <t>ASWD-32</t>
        </is>
      </c>
      <c r="M318" t="inlineStr">
        <is>
          <t>F4</t>
        </is>
      </c>
      <c r="N318" t="inlineStr">
        <is>
          <t>M5</t>
        </is>
      </c>
    </row>
    <row r="319" ht="26" customHeight="1">
      <c r="A319" s="21" t="n"/>
      <c r="B319" s="21" t="n"/>
      <c r="C319" s="20" t="n"/>
      <c r="D319" s="8" t="inlineStr">
        <is>
          <t>Screen (XAML) and command wiring</t>
        </is>
      </c>
      <c r="E319" s="18" t="n">
        <v>5</v>
      </c>
      <c r="F319" s="19">
        <f>E319*F$2</f>
        <v/>
      </c>
      <c r="G319" s="19">
        <f>SUM(E319:F319)*G$2</f>
        <v/>
      </c>
      <c r="H319" s="19">
        <f>G319*H$2</f>
        <v/>
      </c>
      <c r="I319" s="19">
        <f>G319*I$2</f>
        <v/>
      </c>
      <c r="J319" s="19">
        <f>SUM(G319:I319)</f>
        <v/>
      </c>
      <c r="K319" s="19">
        <f>J319/8</f>
        <v/>
      </c>
      <c r="L319" t="inlineStr">
        <is>
          <t>ASWD-32</t>
        </is>
      </c>
      <c r="M319" t="inlineStr">
        <is>
          <t>F4</t>
        </is>
      </c>
      <c r="N319" t="inlineStr">
        <is>
          <t>M5</t>
        </is>
      </c>
    </row>
    <row r="320" ht="26" customHeight="1">
      <c r="A320" s="21" t="n"/>
      <c r="B320" s="21" t="n"/>
      <c r="C320" s="17" t="inlineStr">
        <is>
          <t>Fix the three format defects found in the samples: ALGO Pro duplicate RiskFactors keys, the missing ABR/DPOAE marker, and six fields encoded as text in one format and numbers in the other</t>
        </is>
      </c>
      <c r="D320" s="8" t="inlineStr">
        <is>
          <t>Fix the three format defects found in the samples: ALGO Pro duplicate RiskFactors keys, the missing ABR/DPOAE marker, and six fields encoded as text in one format and numbers in the other</t>
        </is>
      </c>
      <c r="E320" s="18" t="n">
        <v>6</v>
      </c>
      <c r="F320" s="19">
        <f>E320*F$2</f>
        <v/>
      </c>
      <c r="G320" s="19">
        <f>SUM(E320:F320)*G$2</f>
        <v/>
      </c>
      <c r="H320" s="19">
        <f>G320*H$2</f>
        <v/>
      </c>
      <c r="I320" s="19">
        <f>G320*I$2</f>
        <v/>
      </c>
      <c r="J320" s="19">
        <f>SUM(G320:I320)</f>
        <v/>
      </c>
      <c r="K320" s="19">
        <f>J320/8</f>
        <v/>
      </c>
      <c r="L320" t="inlineStr">
        <is>
          <t>ASWD-32</t>
        </is>
      </c>
      <c r="M320" t="inlineStr">
        <is>
          <t>F4</t>
        </is>
      </c>
      <c r="N320" t="inlineStr">
        <is>
          <t>M5</t>
        </is>
      </c>
    </row>
    <row r="321" ht="26" customHeight="1">
      <c r="A321" s="21" t="n"/>
      <c r="B321" s="21" t="n"/>
      <c r="C321" s="17" t="inlineStr">
        <is>
          <t>ALGO 5 XML writer with the required file name (GID-256285)</t>
        </is>
      </c>
      <c r="D321" s="8" t="inlineStr">
        <is>
          <t>ALGO 5 core service</t>
        </is>
      </c>
      <c r="E321" s="18" t="n">
        <v>5</v>
      </c>
      <c r="F321" s="19">
        <f>E321*F$2</f>
        <v/>
      </c>
      <c r="G321" s="19">
        <f>SUM(E321:F321)*G$2</f>
        <v/>
      </c>
      <c r="H321" s="19">
        <f>G321*H$2</f>
        <v/>
      </c>
      <c r="I321" s="19">
        <f>G321*I$2</f>
        <v/>
      </c>
      <c r="J321" s="19">
        <f>SUM(G321:I321)</f>
        <v/>
      </c>
      <c r="K321" s="19">
        <f>J321/8</f>
        <v/>
      </c>
      <c r="L321" t="inlineStr">
        <is>
          <t>ASWD-32</t>
        </is>
      </c>
      <c r="M321" t="inlineStr">
        <is>
          <t>F4</t>
        </is>
      </c>
      <c r="N321" t="inlineStr">
        <is>
          <t>M5</t>
        </is>
      </c>
    </row>
    <row r="322" ht="26" customHeight="1">
      <c r="A322" s="21" t="n"/>
      <c r="B322" s="21" t="n"/>
      <c r="C322" s="21" t="n"/>
      <c r="D322" s="8" t="inlineStr">
        <is>
          <t>ALGO 5 configuration, import config, export config UI + implementation</t>
        </is>
      </c>
      <c r="E322" s="18" t="n">
        <v>5</v>
      </c>
      <c r="F322" s="19">
        <f>E322*F$2</f>
        <v/>
      </c>
      <c r="G322" s="19">
        <f>SUM(E322:F322)*G$2</f>
        <v/>
      </c>
      <c r="H322" s="19">
        <f>G322*H$2</f>
        <v/>
      </c>
      <c r="I322" s="19">
        <f>G322*I$2</f>
        <v/>
      </c>
      <c r="J322" s="19">
        <f>SUM(G322:I322)</f>
        <v/>
      </c>
      <c r="K322" s="19">
        <f>J322/8</f>
        <v/>
      </c>
      <c r="L322" t="inlineStr">
        <is>
          <t>ASWD-32</t>
        </is>
      </c>
      <c r="M322" t="inlineStr">
        <is>
          <t>F4</t>
        </is>
      </c>
      <c r="N322" t="inlineStr">
        <is>
          <t>M5</t>
        </is>
      </c>
    </row>
    <row r="323" ht="26" customHeight="1">
      <c r="A323" s="21" t="n"/>
      <c r="B323" s="21" t="n"/>
      <c r="C323" s="20" t="n"/>
      <c r="D323" s="8" t="inlineStr">
        <is>
          <t>Import / Export Assistant UI + implementation</t>
        </is>
      </c>
      <c r="E323" s="18" t="n">
        <v>5</v>
      </c>
      <c r="F323" s="19">
        <f>E323*F$2</f>
        <v/>
      </c>
      <c r="G323" s="19">
        <f>SUM(E323:F323)*G$2</f>
        <v/>
      </c>
      <c r="H323" s="19">
        <f>G323*H$2</f>
        <v/>
      </c>
      <c r="I323" s="19">
        <f>G323*I$2</f>
        <v/>
      </c>
      <c r="J323" s="19">
        <f>SUM(G323:I323)</f>
        <v/>
      </c>
      <c r="K323" s="19">
        <f>J323/8</f>
        <v/>
      </c>
      <c r="L323" t="inlineStr">
        <is>
          <t>ASWD-32</t>
        </is>
      </c>
      <c r="M323" t="inlineStr">
        <is>
          <t>F4</t>
        </is>
      </c>
      <c r="N323" t="inlineStr">
        <is>
          <t>M5</t>
        </is>
      </c>
    </row>
    <row r="324" ht="26" customHeight="1">
      <c r="A324" s="21" t="n"/>
      <c r="B324" s="21" t="n"/>
      <c r="C324" s="17" t="inlineStr">
        <is>
          <t>ALGO Pro writer</t>
        </is>
      </c>
      <c r="D324" s="8" t="inlineStr">
        <is>
          <t>ALGO Pro core service</t>
        </is>
      </c>
      <c r="E324" s="18" t="n">
        <v>4</v>
      </c>
      <c r="F324" s="19">
        <f>E324*F$2</f>
        <v/>
      </c>
      <c r="G324" s="19">
        <f>SUM(E324:F324)*G$2</f>
        <v/>
      </c>
      <c r="H324" s="19">
        <f>G324*H$2</f>
        <v/>
      </c>
      <c r="I324" s="19">
        <f>G324*I$2</f>
        <v/>
      </c>
      <c r="J324" s="19">
        <f>SUM(G324:I324)</f>
        <v/>
      </c>
      <c r="K324" s="19">
        <f>J324/8</f>
        <v/>
      </c>
      <c r="L324" t="inlineStr">
        <is>
          <t>ASWD-32</t>
        </is>
      </c>
      <c r="M324" t="inlineStr">
        <is>
          <t>F4</t>
        </is>
      </c>
      <c r="N324" t="inlineStr">
        <is>
          <t>M5</t>
        </is>
      </c>
    </row>
    <row r="325" ht="26" customHeight="1">
      <c r="A325" s="21" t="n"/>
      <c r="B325" s="21" t="n"/>
      <c r="C325" s="21" t="n"/>
      <c r="D325" s="8" t="inlineStr">
        <is>
          <t>ALGO Pro configuration, import config, export config UI + implementation</t>
        </is>
      </c>
      <c r="E325" s="18" t="n">
        <v>4</v>
      </c>
      <c r="F325" s="19">
        <f>E325*F$2</f>
        <v/>
      </c>
      <c r="G325" s="19">
        <f>SUM(E325:F325)*G$2</f>
        <v/>
      </c>
      <c r="H325" s="19">
        <f>G325*H$2</f>
        <v/>
      </c>
      <c r="I325" s="19">
        <f>G325*I$2</f>
        <v/>
      </c>
      <c r="J325" s="19">
        <f>SUM(G325:I325)</f>
        <v/>
      </c>
      <c r="K325" s="19">
        <f>J325/8</f>
        <v/>
      </c>
      <c r="L325" t="inlineStr">
        <is>
          <t>ASWD-32</t>
        </is>
      </c>
      <c r="M325" t="inlineStr">
        <is>
          <t>F4</t>
        </is>
      </c>
      <c r="N325" t="inlineStr">
        <is>
          <t>M5</t>
        </is>
      </c>
    </row>
    <row r="326" ht="26" customHeight="1">
      <c r="A326" s="21" t="n"/>
      <c r="B326" s="20" t="n"/>
      <c r="C326" s="20" t="n"/>
      <c r="D326" s="8" t="inlineStr">
        <is>
          <t>Import / Export Assistant UI + implementation</t>
        </is>
      </c>
      <c r="E326" s="18" t="n">
        <v>2</v>
      </c>
      <c r="F326" s="19">
        <f>E326*F$2</f>
        <v/>
      </c>
      <c r="G326" s="19">
        <f>SUM(E326:F326)*G$2</f>
        <v/>
      </c>
      <c r="H326" s="19">
        <f>G326*H$2</f>
        <v/>
      </c>
      <c r="I326" s="19">
        <f>G326*I$2</f>
        <v/>
      </c>
      <c r="J326" s="19">
        <f>SUM(G326:I326)</f>
        <v/>
      </c>
      <c r="K326" s="19">
        <f>J326/8</f>
        <v/>
      </c>
      <c r="L326" t="inlineStr">
        <is>
          <t>ASWD-32</t>
        </is>
      </c>
      <c r="M326" t="inlineStr">
        <is>
          <t>F4</t>
        </is>
      </c>
      <c r="N326" t="inlineStr">
        <is>
          <t>M5</t>
        </is>
      </c>
    </row>
    <row r="327" ht="26" customHeight="1">
      <c r="A327" s="21" t="n"/>
      <c r="B327" s="17" t="inlineStr">
        <is>
          <t>F5 - AccuLink XML — import and export</t>
        </is>
      </c>
      <c r="C327" s="17" t="inlineStr">
        <is>
          <t>AccuLink XML import through the existing parser, with tests</t>
        </is>
      </c>
      <c r="D327" s="8" t="inlineStr">
        <is>
          <t>AccuLink XML import through the existing parser, with tests</t>
        </is>
      </c>
      <c r="E327" s="18" t="n">
        <v>6</v>
      </c>
      <c r="F327" s="19">
        <f>E327*F$2</f>
        <v/>
      </c>
      <c r="G327" s="19">
        <f>SUM(E327:F327)*G$2</f>
        <v/>
      </c>
      <c r="H327" s="19">
        <f>G327*H$2</f>
        <v/>
      </c>
      <c r="I327" s="19">
        <f>G327*I$2</f>
        <v/>
      </c>
      <c r="J327" s="19">
        <f>SUM(G327:I327)</f>
        <v/>
      </c>
      <c r="K327" s="19">
        <f>J327/8</f>
        <v/>
      </c>
      <c r="L327" t="inlineStr">
        <is>
          <t>ASWD-32</t>
        </is>
      </c>
      <c r="M327" t="inlineStr">
        <is>
          <t>F5</t>
        </is>
      </c>
      <c r="N327" t="inlineStr">
        <is>
          <t>M5</t>
        </is>
      </c>
    </row>
    <row r="328" ht="26" customHeight="1">
      <c r="A328" s="21" t="n"/>
      <c r="B328" s="21" t="n"/>
      <c r="C328" s="17" t="inlineStr">
        <is>
          <t>AccuLink XML writer and its typed document, from AccuLink XmlPatientDataExporter and the 35 classes generated from AccuLinkXiMpLe.xsd</t>
        </is>
      </c>
      <c r="D328" s="8" t="inlineStr">
        <is>
          <t>XML core service</t>
        </is>
      </c>
      <c r="E328" s="18" t="n">
        <v>7</v>
      </c>
      <c r="F328" s="19">
        <f>E328*F$2</f>
        <v/>
      </c>
      <c r="G328" s="19">
        <f>SUM(E328:F328)*G$2</f>
        <v/>
      </c>
      <c r="H328" s="19">
        <f>G328*H$2</f>
        <v/>
      </c>
      <c r="I328" s="19">
        <f>G328*I$2</f>
        <v/>
      </c>
      <c r="J328" s="19">
        <f>SUM(G328:I328)</f>
        <v/>
      </c>
      <c r="K328" s="19">
        <f>J328/8</f>
        <v/>
      </c>
      <c r="L328" t="inlineStr">
        <is>
          <t>ASWD-32</t>
        </is>
      </c>
      <c r="M328" t="inlineStr">
        <is>
          <t>F5</t>
        </is>
      </c>
      <c r="N328" t="inlineStr">
        <is>
          <t>M5</t>
        </is>
      </c>
    </row>
    <row r="329" ht="26" customHeight="1">
      <c r="A329" s="21" t="n"/>
      <c r="B329" s="21" t="n"/>
      <c r="C329" s="21" t="n"/>
      <c r="D329" s="8" t="inlineStr">
        <is>
          <t>XML configuration, import config, export config UI + implementation</t>
        </is>
      </c>
      <c r="E329" s="18" t="n">
        <v>5</v>
      </c>
      <c r="F329" s="19">
        <f>E329*F$2</f>
        <v/>
      </c>
      <c r="G329" s="19">
        <f>SUM(E329:F329)*G$2</f>
        <v/>
      </c>
      <c r="H329" s="19">
        <f>G329*H$2</f>
        <v/>
      </c>
      <c r="I329" s="19">
        <f>G329*I$2</f>
        <v/>
      </c>
      <c r="J329" s="19">
        <f>SUM(G329:I329)</f>
        <v/>
      </c>
      <c r="K329" s="19">
        <f>J329/8</f>
        <v/>
      </c>
      <c r="L329" t="inlineStr">
        <is>
          <t>ASWD-32</t>
        </is>
      </c>
      <c r="M329" t="inlineStr">
        <is>
          <t>F5</t>
        </is>
      </c>
      <c r="N329" t="inlineStr">
        <is>
          <t>M5</t>
        </is>
      </c>
    </row>
    <row r="330" ht="26" customHeight="1">
      <c r="A330" s="21" t="n"/>
      <c r="B330" s="20" t="n"/>
      <c r="C330" s="20" t="n"/>
      <c r="D330" s="8" t="inlineStr">
        <is>
          <t>Import / Export Assistant UI + implementation</t>
        </is>
      </c>
      <c r="E330" s="18" t="n">
        <v>5</v>
      </c>
      <c r="F330" s="19">
        <f>E330*F$2</f>
        <v/>
      </c>
      <c r="G330" s="19">
        <f>SUM(E330:F330)*G$2</f>
        <v/>
      </c>
      <c r="H330" s="19">
        <f>G330*H$2</f>
        <v/>
      </c>
      <c r="I330" s="19">
        <f>G330*I$2</f>
        <v/>
      </c>
      <c r="J330" s="19">
        <f>SUM(G330:I330)</f>
        <v/>
      </c>
      <c r="K330" s="19">
        <f>J330/8</f>
        <v/>
      </c>
      <c r="L330" t="inlineStr">
        <is>
          <t>ASWD-32</t>
        </is>
      </c>
      <c r="M330" t="inlineStr">
        <is>
          <t>F5</t>
        </is>
      </c>
      <c r="N330" t="inlineStr">
        <is>
          <t>M5</t>
        </is>
      </c>
    </row>
    <row r="331" ht="26" customHeight="1">
      <c r="A331" s="21" t="n"/>
      <c r="B331" s="17" t="inlineStr">
        <is>
          <t>F6 - HiTrack — export, and pick-list import *(fills PM-40’s Nursery and Race lists; Natus supplied sample pick-list files)</t>
        </is>
      </c>
      <c r="C331" s="17" t="inlineStr">
        <is>
          <t>HiTrack writer, including the duplicate INTHS.txt (GID-256282) — the 114-column layout comes from AccuLink HiTrackTest, so Q3 no longer blocks it</t>
        </is>
      </c>
      <c r="D331" s="8" t="inlineStr">
        <is>
          <t>HiTrack core service</t>
        </is>
      </c>
      <c r="E331" s="18" t="n">
        <v>7</v>
      </c>
      <c r="F331" s="19">
        <f>E331*F$2</f>
        <v/>
      </c>
      <c r="G331" s="19">
        <f>SUM(E331:F331)*G$2</f>
        <v/>
      </c>
      <c r="H331" s="19">
        <f>G331*H$2</f>
        <v/>
      </c>
      <c r="I331" s="19">
        <f>G331*I$2</f>
        <v/>
      </c>
      <c r="J331" s="19">
        <f>SUM(G331:I331)</f>
        <v/>
      </c>
      <c r="K331" s="19">
        <f>J331/8</f>
        <v/>
      </c>
      <c r="L331" t="inlineStr">
        <is>
          <t>ASWD-32</t>
        </is>
      </c>
      <c r="M331" t="inlineStr">
        <is>
          <t>F6</t>
        </is>
      </c>
      <c r="N331" t="inlineStr">
        <is>
          <t>M5</t>
        </is>
      </c>
    </row>
    <row r="332" ht="26" customHeight="1">
      <c r="A332" s="21" t="n"/>
      <c r="B332" s="21" t="n"/>
      <c r="C332" s="21" t="n"/>
      <c r="D332" s="8" t="inlineStr">
        <is>
          <t>HiTrack configuration, import config, export config UI + implementation</t>
        </is>
      </c>
      <c r="E332" s="18" t="n">
        <v>4</v>
      </c>
      <c r="F332" s="19">
        <f>E332*F$2</f>
        <v/>
      </c>
      <c r="G332" s="19">
        <f>SUM(E332:F332)*G$2</f>
        <v/>
      </c>
      <c r="H332" s="19">
        <f>G332*H$2</f>
        <v/>
      </c>
      <c r="I332" s="19">
        <f>G332*I$2</f>
        <v/>
      </c>
      <c r="J332" s="19">
        <f>SUM(G332:I332)</f>
        <v/>
      </c>
      <c r="K332" s="19">
        <f>J332/8</f>
        <v/>
      </c>
      <c r="L332" t="inlineStr">
        <is>
          <t>ASWD-32</t>
        </is>
      </c>
      <c r="M332" t="inlineStr">
        <is>
          <t>F6</t>
        </is>
      </c>
      <c r="N332" t="inlineStr">
        <is>
          <t>M5</t>
        </is>
      </c>
    </row>
    <row r="333" ht="26" customHeight="1">
      <c r="A333" s="21" t="n"/>
      <c r="B333" s="21" t="n"/>
      <c r="C333" s="20" t="n"/>
      <c r="D333" s="8" t="inlineStr">
        <is>
          <t>Import / Export Assistant UI + implementation</t>
        </is>
      </c>
      <c r="E333" s="18" t="n">
        <v>4</v>
      </c>
      <c r="F333" s="19">
        <f>E333*F$2</f>
        <v/>
      </c>
      <c r="G333" s="19">
        <f>SUM(E333:F333)*G$2</f>
        <v/>
      </c>
      <c r="H333" s="19">
        <f>G333*H$2</f>
        <v/>
      </c>
      <c r="I333" s="19">
        <f>G333*I$2</f>
        <v/>
      </c>
      <c r="J333" s="19">
        <f>SUM(G333:I333)</f>
        <v/>
      </c>
      <c r="K333" s="19">
        <f>J333/8</f>
        <v/>
      </c>
      <c r="L333" t="inlineStr">
        <is>
          <t>ASWD-32</t>
        </is>
      </c>
      <c r="M333" t="inlineStr">
        <is>
          <t>F6</t>
        </is>
      </c>
      <c r="N333" t="inlineStr">
        <is>
          <t>M5</t>
        </is>
      </c>
    </row>
    <row r="334" ht="26" customHeight="1">
      <c r="A334" s="21" t="n"/>
      <c r="B334" s="21" t="n"/>
      <c r="C334" s="17" t="inlineStr">
        <is>
          <t>The export rules that go with it: result codes for deceased and discharged patients, risk-factor and comment aggregation, ethnicity and education code maps</t>
        </is>
      </c>
      <c r="D334" s="8" t="inlineStr">
        <is>
          <t>The export rules that go with it: result codes for deceased and discharged patients, risk-factor and comment aggregation, ethnicity and education code maps</t>
        </is>
      </c>
      <c r="E334" s="18" t="n">
        <v>4</v>
      </c>
      <c r="F334" s="19">
        <f>E334*F$2</f>
        <v/>
      </c>
      <c r="G334" s="19">
        <f>SUM(E334:F334)*G$2</f>
        <v/>
      </c>
      <c r="H334" s="19">
        <f>G334*H$2</f>
        <v/>
      </c>
      <c r="I334" s="19">
        <f>G334*I$2</f>
        <v/>
      </c>
      <c r="J334" s="19">
        <f>SUM(G334:I334)</f>
        <v/>
      </c>
      <c r="K334" s="19">
        <f>J334/8</f>
        <v/>
      </c>
      <c r="L334" t="inlineStr">
        <is>
          <t>ASWD-32</t>
        </is>
      </c>
      <c r="M334" t="inlineStr">
        <is>
          <t>F6</t>
        </is>
      </c>
      <c r="N334" t="inlineStr">
        <is>
          <t>M5</t>
        </is>
      </c>
    </row>
    <row r="335" ht="26" customHeight="1">
      <c r="A335" s="21" t="n"/>
      <c r="B335" s="21" t="n"/>
      <c r="C335" s="17" t="inlineStr">
        <is>
          <t>HiTrack pick-list import: hospitals, physicians, audiologists, screeners, nursery types and race types</t>
        </is>
      </c>
      <c r="D335" s="8" t="inlineStr">
        <is>
          <t>HiTrack core service</t>
        </is>
      </c>
      <c r="E335" s="18" t="n">
        <v>6</v>
      </c>
      <c r="F335" s="19">
        <f>E335*F$2</f>
        <v/>
      </c>
      <c r="G335" s="19">
        <f>SUM(E335:F335)*G$2</f>
        <v/>
      </c>
      <c r="H335" s="19">
        <f>G335*H$2</f>
        <v/>
      </c>
      <c r="I335" s="19">
        <f>G335*I$2</f>
        <v/>
      </c>
      <c r="J335" s="19">
        <f>SUM(G335:I335)</f>
        <v/>
      </c>
      <c r="K335" s="19">
        <f>J335/8</f>
        <v/>
      </c>
      <c r="L335" t="inlineStr">
        <is>
          <t>ASWD-32</t>
        </is>
      </c>
      <c r="M335" t="inlineStr">
        <is>
          <t>F6</t>
        </is>
      </c>
      <c r="N335" t="inlineStr">
        <is>
          <t>M5</t>
        </is>
      </c>
    </row>
    <row r="336" ht="26" customHeight="1">
      <c r="A336" s="21" t="n"/>
      <c r="B336" s="21" t="n"/>
      <c r="C336" s="21" t="n"/>
      <c r="D336" s="8" t="inlineStr">
        <is>
          <t>HiTrack configuration, import config, export config UI + implementation</t>
        </is>
      </c>
      <c r="E336" s="18" t="n">
        <v>6</v>
      </c>
      <c r="F336" s="19">
        <f>E336*F$2</f>
        <v/>
      </c>
      <c r="G336" s="19">
        <f>SUM(E336:F336)*G$2</f>
        <v/>
      </c>
      <c r="H336" s="19">
        <f>G336*H$2</f>
        <v/>
      </c>
      <c r="I336" s="19">
        <f>G336*I$2</f>
        <v/>
      </c>
      <c r="J336" s="19">
        <f>SUM(G336:I336)</f>
        <v/>
      </c>
      <c r="K336" s="19">
        <f>J336/8</f>
        <v/>
      </c>
      <c r="L336" t="inlineStr">
        <is>
          <t>ASWD-32</t>
        </is>
      </c>
      <c r="M336" t="inlineStr">
        <is>
          <t>F6</t>
        </is>
      </c>
      <c r="N336" t="inlineStr">
        <is>
          <t>M5</t>
        </is>
      </c>
    </row>
    <row r="337" ht="26" customHeight="1">
      <c r="A337" s="21" t="n"/>
      <c r="B337" s="20" t="n"/>
      <c r="C337" s="20" t="n"/>
      <c r="D337" s="8" t="inlineStr">
        <is>
          <t>Import / Export Assistant UI + implementation</t>
        </is>
      </c>
      <c r="E337" s="18" t="n">
        <v>2</v>
      </c>
      <c r="F337" s="19">
        <f>E337*F$2</f>
        <v/>
      </c>
      <c r="G337" s="19">
        <f>SUM(E337:F337)*G$2</f>
        <v/>
      </c>
      <c r="H337" s="19">
        <f>G337*H$2</f>
        <v/>
      </c>
      <c r="I337" s="19">
        <f>G337*I$2</f>
        <v/>
      </c>
      <c r="J337" s="19">
        <f>SUM(G337:I337)</f>
        <v/>
      </c>
      <c r="K337" s="19">
        <f>J337/8</f>
        <v/>
      </c>
      <c r="L337" t="inlineStr">
        <is>
          <t>ASWD-32</t>
        </is>
      </c>
      <c r="M337" t="inlineStr">
        <is>
          <t>F6</t>
        </is>
      </c>
      <c r="N337" t="inlineStr">
        <is>
          <t>M5</t>
        </is>
      </c>
    </row>
    <row r="338" ht="26" customHeight="1">
      <c r="A338" s="21" t="n"/>
      <c r="B338" s="17" t="inlineStr">
        <is>
          <t>F7 - OZ — binary export</t>
        </is>
      </c>
      <c r="C338" s="17" t="inlineStr">
        <is>
          <t>OZ writer (GID-256283) — the binary record layout comes from AccuLink Oz7Test, so Q3 no longer blocks it</t>
        </is>
      </c>
      <c r="D338" s="8" t="inlineStr">
        <is>
          <t>OZ core service</t>
        </is>
      </c>
      <c r="E338" s="18" t="n">
        <v>6</v>
      </c>
      <c r="F338" s="19">
        <f>E338*F$2</f>
        <v/>
      </c>
      <c r="G338" s="19">
        <f>SUM(E338:F338)*G$2</f>
        <v/>
      </c>
      <c r="H338" s="19">
        <f>G338*H$2</f>
        <v/>
      </c>
      <c r="I338" s="19">
        <f>G338*I$2</f>
        <v/>
      </c>
      <c r="J338" s="19">
        <f>SUM(G338:I338)</f>
        <v/>
      </c>
      <c r="K338" s="19">
        <f>J338/8</f>
        <v/>
      </c>
      <c r="L338" t="inlineStr">
        <is>
          <t>ASWD-32</t>
        </is>
      </c>
      <c r="M338" t="inlineStr">
        <is>
          <t>F7</t>
        </is>
      </c>
      <c r="N338" t="inlineStr">
        <is>
          <t>M5</t>
        </is>
      </c>
    </row>
    <row r="339" ht="26" customHeight="1">
      <c r="A339" s="21" t="n"/>
      <c r="B339" s="21" t="n"/>
      <c r="C339" s="21" t="n"/>
      <c r="D339" s="8" t="inlineStr">
        <is>
          <t>OZ configuration, import config, export config UI + implementation</t>
        </is>
      </c>
      <c r="E339" s="18" t="n">
        <v>5</v>
      </c>
      <c r="F339" s="19">
        <f>E339*F$2</f>
        <v/>
      </c>
      <c r="G339" s="19">
        <f>SUM(E339:F339)*G$2</f>
        <v/>
      </c>
      <c r="H339" s="19">
        <f>G339*H$2</f>
        <v/>
      </c>
      <c r="I339" s="19">
        <f>G339*I$2</f>
        <v/>
      </c>
      <c r="J339" s="19">
        <f>SUM(G339:I339)</f>
        <v/>
      </c>
      <c r="K339" s="19">
        <f>J339/8</f>
        <v/>
      </c>
      <c r="L339" t="inlineStr">
        <is>
          <t>ASWD-32</t>
        </is>
      </c>
      <c r="M339" t="inlineStr">
        <is>
          <t>F7</t>
        </is>
      </c>
      <c r="N339" t="inlineStr">
        <is>
          <t>M5</t>
        </is>
      </c>
    </row>
    <row r="340" ht="26" customHeight="1">
      <c r="A340" s="21" t="n"/>
      <c r="B340" s="21" t="n"/>
      <c r="C340" s="20" t="n"/>
      <c r="D340" s="8" t="inlineStr">
        <is>
          <t>Import / Export Assistant UI + implementation</t>
        </is>
      </c>
      <c r="E340" s="18" t="n">
        <v>6</v>
      </c>
      <c r="F340" s="19">
        <f>E340*F$2</f>
        <v/>
      </c>
      <c r="G340" s="19">
        <f>SUM(E340:F340)*G$2</f>
        <v/>
      </c>
      <c r="H340" s="19">
        <f>G340*H$2</f>
        <v/>
      </c>
      <c r="I340" s="19">
        <f>G340*I$2</f>
        <v/>
      </c>
      <c r="J340" s="19">
        <f>SUM(G340:I340)</f>
        <v/>
      </c>
      <c r="K340" s="19">
        <f>J340/8</f>
        <v/>
      </c>
      <c r="L340" t="inlineStr">
        <is>
          <t>ASWD-32</t>
        </is>
      </c>
      <c r="M340" t="inlineStr">
        <is>
          <t>F7</t>
        </is>
      </c>
      <c r="N340" t="inlineStr">
        <is>
          <t>M5</t>
        </is>
      </c>
    </row>
    <row r="341" ht="26" customHeight="1">
      <c r="A341" s="21" t="n"/>
      <c r="B341" s="21" t="n"/>
      <c r="C341" s="17" t="inlineStr">
        <is>
          <t>⚠ AccuLink has no OZ importer and none is specified. X1 must be answered before any OZ import is planned</t>
        </is>
      </c>
      <c r="D341" s="8" t="inlineStr">
        <is>
          <t>OZ core service</t>
        </is>
      </c>
      <c r="E341" s="18" t="n">
        <v>2</v>
      </c>
      <c r="F341" s="19">
        <f>E341*F$2</f>
        <v/>
      </c>
      <c r="G341" s="19">
        <f>SUM(E341:F341)*G$2</f>
        <v/>
      </c>
      <c r="H341" s="19">
        <f>G341*H$2</f>
        <v/>
      </c>
      <c r="I341" s="19">
        <f>G341*I$2</f>
        <v/>
      </c>
      <c r="J341" s="19">
        <f>SUM(G341:I341)</f>
        <v/>
      </c>
      <c r="K341" s="19">
        <f>J341/8</f>
        <v/>
      </c>
      <c r="L341" t="inlineStr">
        <is>
          <t>ASWD-32</t>
        </is>
      </c>
      <c r="M341" t="inlineStr">
        <is>
          <t>F7</t>
        </is>
      </c>
      <c r="N341" t="inlineStr">
        <is>
          <t>M5</t>
        </is>
      </c>
    </row>
    <row r="342" ht="26" customHeight="1">
      <c r="A342" s="21" t="n"/>
      <c r="B342" s="21" t="n"/>
      <c r="C342" s="21" t="n"/>
      <c r="D342" s="8" t="inlineStr">
        <is>
          <t>OZ configuration, import config, export config UI + implementation</t>
        </is>
      </c>
      <c r="E342" s="18" t="n">
        <v>2</v>
      </c>
      <c r="F342" s="19">
        <f>E342*F$2</f>
        <v/>
      </c>
      <c r="G342" s="19">
        <f>SUM(E342:F342)*G$2</f>
        <v/>
      </c>
      <c r="H342" s="19">
        <f>G342*H$2</f>
        <v/>
      </c>
      <c r="I342" s="19">
        <f>G342*I$2</f>
        <v/>
      </c>
      <c r="J342" s="19">
        <f>SUM(G342:I342)</f>
        <v/>
      </c>
      <c r="K342" s="19">
        <f>J342/8</f>
        <v/>
      </c>
      <c r="L342" t="inlineStr">
        <is>
          <t>ASWD-32</t>
        </is>
      </c>
      <c r="M342" t="inlineStr">
        <is>
          <t>F7</t>
        </is>
      </c>
      <c r="N342" t="inlineStr">
        <is>
          <t>M5</t>
        </is>
      </c>
    </row>
    <row r="343" ht="26" customHeight="1">
      <c r="A343" s="21" t="n"/>
      <c r="B343" s="20" t="n"/>
      <c r="C343" s="20" t="n"/>
      <c r="D343" s="8" t="inlineStr">
        <is>
          <t>Import / Export Assistant UI + implementation</t>
        </is>
      </c>
      <c r="E343" s="18" t="n">
        <v>1</v>
      </c>
      <c r="F343" s="19">
        <f>E343*F$2</f>
        <v/>
      </c>
      <c r="G343" s="19">
        <f>SUM(E343:F343)*G$2</f>
        <v/>
      </c>
      <c r="H343" s="19">
        <f>G343*H$2</f>
        <v/>
      </c>
      <c r="I343" s="19">
        <f>G343*I$2</f>
        <v/>
      </c>
      <c r="J343" s="19">
        <f>SUM(G343:I343)</f>
        <v/>
      </c>
      <c r="K343" s="19">
        <f>J343/8</f>
        <v/>
      </c>
      <c r="L343" t="inlineStr">
        <is>
          <t>ASWD-32</t>
        </is>
      </c>
      <c r="M343" t="inlineStr">
        <is>
          <t>F7</t>
        </is>
      </c>
      <c r="N343" t="inlineStr">
        <is>
          <t>M5</t>
        </is>
      </c>
    </row>
    <row r="344" ht="26" customHeight="1">
      <c r="A344" s="21" t="n"/>
      <c r="B344" s="17" t="inlineStr">
        <is>
          <t>F8 - S4H: the connector and the sync engine</t>
        </is>
      </c>
      <c r="C344" s="17" t="inlineStr">
        <is>
          <t>SOAP client for the SEDQ service — the contract is northgate.wsdl with uploadData and downloadSyncData, so the 3-day discovery is replaced by a read</t>
        </is>
      </c>
      <c r="D344" s="8" t="inlineStr">
        <is>
          <t>Timeboxed spike against the real data, file or device</t>
        </is>
      </c>
      <c r="E344" s="18" t="n">
        <v>5</v>
      </c>
      <c r="F344" s="19">
        <f>E344*F$2</f>
        <v/>
      </c>
      <c r="G344" s="19">
        <f>SUM(E344:F344)*G$2</f>
        <v/>
      </c>
      <c r="H344" s="19">
        <f>G344*H$2</f>
        <v/>
      </c>
      <c r="I344" s="19">
        <f>G344*I$2</f>
        <v/>
      </c>
      <c r="J344" s="19">
        <f>SUM(G344:I344)</f>
        <v/>
      </c>
      <c r="K344" s="19">
        <f>J344/8</f>
        <v/>
      </c>
      <c r="L344" t="inlineStr">
        <is>
          <t>ASWD-32</t>
        </is>
      </c>
      <c r="M344" t="inlineStr">
        <is>
          <t>F8</t>
        </is>
      </c>
      <c r="N344" t="inlineStr">
        <is>
          <t>M7</t>
        </is>
      </c>
    </row>
    <row r="345" ht="26" customHeight="1">
      <c r="A345" s="21" t="n"/>
      <c r="B345" s="21" t="n"/>
      <c r="C345" s="20" t="n"/>
      <c r="D345" s="8" t="inlineStr">
        <is>
          <t>Write up the findings and the decision</t>
        </is>
      </c>
      <c r="E345" s="18" t="n">
        <v>5</v>
      </c>
      <c r="F345" s="19">
        <f>E345*F$2</f>
        <v/>
      </c>
      <c r="G345" s="19">
        <f>SUM(E345:F345)*G$2</f>
        <v/>
      </c>
      <c r="H345" s="19">
        <f>G345*H$2</f>
        <v/>
      </c>
      <c r="I345" s="19">
        <f>G345*I$2</f>
        <v/>
      </c>
      <c r="J345" s="19">
        <f>SUM(G345:I345)</f>
        <v/>
      </c>
      <c r="K345" s="19">
        <f>J345/8</f>
        <v/>
      </c>
      <c r="L345" t="inlineStr">
        <is>
          <t>ASWD-32</t>
        </is>
      </c>
      <c r="M345" t="inlineStr">
        <is>
          <t>F8</t>
        </is>
      </c>
      <c r="N345" t="inlineStr">
        <is>
          <t>M7</t>
        </is>
      </c>
    </row>
    <row r="346" ht="26" customHeight="1">
      <c r="A346" s="21" t="n"/>
      <c r="B346" s="21" t="n"/>
      <c r="C346" s="17" t="inlineStr">
        <is>
          <t>Client plus a screen to set the web service URL (GID-254974)</t>
        </is>
      </c>
      <c r="D346" s="8" t="inlineStr">
        <is>
          <t>Settings entity and storage</t>
        </is>
      </c>
      <c r="E346" s="18" t="n">
        <v>5</v>
      </c>
      <c r="F346" s="19">
        <f>E346*F$2</f>
        <v/>
      </c>
      <c r="G346" s="19">
        <f>SUM(E346:F346)*G$2</f>
        <v/>
      </c>
      <c r="H346" s="19">
        <f>G346*H$2</f>
        <v/>
      </c>
      <c r="I346" s="19">
        <f>G346*I$2</f>
        <v/>
      </c>
      <c r="J346" s="19">
        <f>SUM(G346:I346)</f>
        <v/>
      </c>
      <c r="K346" s="19">
        <f>J346/8</f>
        <v/>
      </c>
      <c r="L346" t="inlineStr">
        <is>
          <t>ASWD-32</t>
        </is>
      </c>
      <c r="M346" t="inlineStr">
        <is>
          <t>F8</t>
        </is>
      </c>
      <c r="N346" t="inlineStr">
        <is>
          <t>M7</t>
        </is>
      </c>
    </row>
    <row r="347" ht="26" customHeight="1">
      <c r="A347" s="21" t="n"/>
      <c r="B347" s="21" t="n"/>
      <c r="C347" s="21" t="n"/>
      <c r="D347" s="8" t="inlineStr">
        <is>
          <t>Configuration screen and validation</t>
        </is>
      </c>
      <c r="E347" s="18" t="n">
        <v>6</v>
      </c>
      <c r="F347" s="19">
        <f>E347*F$2</f>
        <v/>
      </c>
      <c r="G347" s="19">
        <f>SUM(E347:F347)*G$2</f>
        <v/>
      </c>
      <c r="H347" s="19">
        <f>G347*H$2</f>
        <v/>
      </c>
      <c r="I347" s="19">
        <f>G347*I$2</f>
        <v/>
      </c>
      <c r="J347" s="19">
        <f>SUM(G347:I347)</f>
        <v/>
      </c>
      <c r="K347" s="19">
        <f>J347/8</f>
        <v/>
      </c>
      <c r="L347" t="inlineStr">
        <is>
          <t>ASWD-32</t>
        </is>
      </c>
      <c r="M347" t="inlineStr">
        <is>
          <t>F8</t>
        </is>
      </c>
      <c r="N347" t="inlineStr">
        <is>
          <t>M7</t>
        </is>
      </c>
    </row>
    <row r="348" ht="26" customHeight="1">
      <c r="A348" s="21" t="n"/>
      <c r="B348" s="21" t="n"/>
      <c r="C348" s="20" t="n"/>
      <c r="D348" s="8" t="inlineStr">
        <is>
          <t>Apply the setting everywhere it is read</t>
        </is>
      </c>
      <c r="E348" s="18" t="n">
        <v>4</v>
      </c>
      <c r="F348" s="19">
        <f>E348*F$2</f>
        <v/>
      </c>
      <c r="G348" s="19">
        <f>SUM(E348:F348)*G$2</f>
        <v/>
      </c>
      <c r="H348" s="19">
        <f>G348*H$2</f>
        <v/>
      </c>
      <c r="I348" s="19">
        <f>G348*I$2</f>
        <v/>
      </c>
      <c r="J348" s="19">
        <f>SUM(G348:I348)</f>
        <v/>
      </c>
      <c r="K348" s="19">
        <f>J348/8</f>
        <v/>
      </c>
      <c r="L348" t="inlineStr">
        <is>
          <t>ASWD-32</t>
        </is>
      </c>
      <c r="M348" t="inlineStr">
        <is>
          <t>F8</t>
        </is>
      </c>
      <c r="N348" t="inlineStr">
        <is>
          <t>M7</t>
        </is>
      </c>
    </row>
    <row r="349" ht="26" customHeight="1">
      <c r="A349" s="21" t="n"/>
      <c r="B349" s="21" t="n"/>
      <c r="C349" s="17" t="inlineStr">
        <is>
          <t>The shared sync framework and its trigger rules</t>
        </is>
      </c>
      <c r="D349" s="8" t="inlineStr">
        <is>
          <t>Contract mapping and client calls</t>
        </is>
      </c>
      <c r="E349" s="18" t="n">
        <v>6</v>
      </c>
      <c r="F349" s="19">
        <f>E349*F$2</f>
        <v/>
      </c>
      <c r="G349" s="19">
        <f>SUM(E349:F349)*G$2</f>
        <v/>
      </c>
      <c r="H349" s="19">
        <f>G349*H$2</f>
        <v/>
      </c>
      <c r="I349" s="19">
        <f>G349*I$2</f>
        <v/>
      </c>
      <c r="J349" s="19">
        <f>SUM(G349:I349)</f>
        <v/>
      </c>
      <c r="K349" s="19">
        <f>J349/8</f>
        <v/>
      </c>
      <c r="L349" t="inlineStr">
        <is>
          <t>ASWD-32</t>
        </is>
      </c>
      <c r="M349" t="inlineStr">
        <is>
          <t>F8</t>
        </is>
      </c>
      <c r="N349" t="inlineStr">
        <is>
          <t>M7</t>
        </is>
      </c>
    </row>
    <row r="350" ht="26" customHeight="1">
      <c r="A350" s="21" t="n"/>
      <c r="B350" s="21" t="n"/>
      <c r="C350" s="21" t="n"/>
      <c r="D350" s="8" t="inlineStr">
        <is>
          <t>Sync service and its trigger rules</t>
        </is>
      </c>
      <c r="E350" s="18" t="n">
        <v>5</v>
      </c>
      <c r="F350" s="19">
        <f>E350*F$2</f>
        <v/>
      </c>
      <c r="G350" s="19">
        <f>SUM(E350:F350)*G$2</f>
        <v/>
      </c>
      <c r="H350" s="19">
        <f>G350*H$2</f>
        <v/>
      </c>
      <c r="I350" s="19">
        <f>G350*I$2</f>
        <v/>
      </c>
      <c r="J350" s="19">
        <f>SUM(G350:I350)</f>
        <v/>
      </c>
      <c r="K350" s="19">
        <f>J350/8</f>
        <v/>
      </c>
      <c r="L350" t="inlineStr">
        <is>
          <t>ASWD-32</t>
        </is>
      </c>
      <c r="M350" t="inlineStr">
        <is>
          <t>F8</t>
        </is>
      </c>
      <c r="N350" t="inlineStr">
        <is>
          <t>M7</t>
        </is>
      </c>
    </row>
    <row r="351" ht="26" customHeight="1">
      <c r="A351" s="21" t="n"/>
      <c r="B351" s="21" t="n"/>
      <c r="C351" s="20" t="n"/>
      <c r="D351" s="8" t="inlineStr">
        <is>
          <t>Status, conflicts and error handling</t>
        </is>
      </c>
      <c r="E351" s="18" t="n">
        <v>5</v>
      </c>
      <c r="F351" s="19">
        <f>E351*F$2</f>
        <v/>
      </c>
      <c r="G351" s="19">
        <f>SUM(E351:F351)*G$2</f>
        <v/>
      </c>
      <c r="H351" s="19">
        <f>G351*H$2</f>
        <v/>
      </c>
      <c r="I351" s="19">
        <f>G351*I$2</f>
        <v/>
      </c>
      <c r="J351" s="19">
        <f>SUM(G351:I351)</f>
        <v/>
      </c>
      <c r="K351" s="19">
        <f>J351/8</f>
        <v/>
      </c>
      <c r="L351" t="inlineStr">
        <is>
          <t>ASWD-32</t>
        </is>
      </c>
      <c r="M351" t="inlineStr">
        <is>
          <t>F8</t>
        </is>
      </c>
      <c r="N351" t="inlineStr">
        <is>
          <t>M7</t>
        </is>
      </c>
    </row>
    <row r="352" ht="26" customHeight="1">
      <c r="A352" s="21" t="n"/>
      <c r="B352" s="21" t="n"/>
      <c r="C352" s="17" t="inlineStr">
        <is>
          <t>Send patient and test data to an external system over a web service (GID-254899)</t>
        </is>
      </c>
      <c r="D352" s="8" t="inlineStr">
        <is>
          <t>Core model and service</t>
        </is>
      </c>
      <c r="E352" s="18" t="n">
        <v>4</v>
      </c>
      <c r="F352" s="19">
        <f>E352*F$2</f>
        <v/>
      </c>
      <c r="G352" s="19">
        <f>SUM(E352:F352)*G$2</f>
        <v/>
      </c>
      <c r="H352" s="19">
        <f>G352*H$2</f>
        <v/>
      </c>
      <c r="I352" s="19">
        <f>G352*I$2</f>
        <v/>
      </c>
      <c r="J352" s="19">
        <f>SUM(G352:I352)</f>
        <v/>
      </c>
      <c r="K352" s="19">
        <f>J352/8</f>
        <v/>
      </c>
      <c r="L352" t="inlineStr">
        <is>
          <t>ASWD-32</t>
        </is>
      </c>
      <c r="M352" t="inlineStr">
        <is>
          <t>F8</t>
        </is>
      </c>
      <c r="N352" t="inlineStr">
        <is>
          <t>M7</t>
        </is>
      </c>
    </row>
    <row r="353" ht="26" customHeight="1">
      <c r="A353" s="21" t="n"/>
      <c r="B353" s="21" t="n"/>
      <c r="C353" s="21" t="n"/>
      <c r="D353" s="8" t="inlineStr">
        <is>
          <t>ViewModel, DTO and converters</t>
        </is>
      </c>
      <c r="E353" s="18" t="n">
        <v>4</v>
      </c>
      <c r="F353" s="19">
        <f>E353*F$2</f>
        <v/>
      </c>
      <c r="G353" s="19">
        <f>SUM(E353:F353)*G$2</f>
        <v/>
      </c>
      <c r="H353" s="19">
        <f>G353*H$2</f>
        <v/>
      </c>
      <c r="I353" s="19">
        <f>G353*I$2</f>
        <v/>
      </c>
      <c r="J353" s="19">
        <f>SUM(G353:I353)</f>
        <v/>
      </c>
      <c r="K353" s="19">
        <f>J353/8</f>
        <v/>
      </c>
      <c r="L353" t="inlineStr">
        <is>
          <t>ASWD-32</t>
        </is>
      </c>
      <c r="M353" t="inlineStr">
        <is>
          <t>F8</t>
        </is>
      </c>
      <c r="N353" t="inlineStr">
        <is>
          <t>M7</t>
        </is>
      </c>
    </row>
    <row r="354" ht="26" customHeight="1">
      <c r="A354" s="21" t="n"/>
      <c r="B354" s="20" t="n"/>
      <c r="C354" s="20" t="n"/>
      <c r="D354" s="8" t="inlineStr">
        <is>
          <t>Screen (XAML) and command wiring</t>
        </is>
      </c>
      <c r="E354" s="18" t="n">
        <v>5</v>
      </c>
      <c r="F354" s="19">
        <f>E354*F$2</f>
        <v/>
      </c>
      <c r="G354" s="19">
        <f>SUM(E354:F354)*G$2</f>
        <v/>
      </c>
      <c r="H354" s="19">
        <f>G354*H$2</f>
        <v/>
      </c>
      <c r="I354" s="19">
        <f>G354*I$2</f>
        <v/>
      </c>
      <c r="J354" s="19">
        <f>SUM(G354:I354)</f>
        <v/>
      </c>
      <c r="K354" s="19">
        <f>J354/8</f>
        <v/>
      </c>
      <c r="L354" t="inlineStr">
        <is>
          <t>ASWD-32</t>
        </is>
      </c>
      <c r="M354" t="inlineStr">
        <is>
          <t>F8</t>
        </is>
      </c>
      <c r="N354" t="inlineStr">
        <is>
          <t>M7</t>
        </is>
      </c>
    </row>
    <row r="355" ht="26" customHeight="1">
      <c r="A355" s="21" t="n"/>
      <c r="B355" s="17" t="inlineStr">
        <is>
          <t>F9 - S4H: receive users, devices, facilities and risk factors</t>
        </is>
      </c>
      <c r="C355" s="17" t="inlineStr">
        <is>
          <t>Receive the user list and store username and user ID, read-only (GID-254975, GID-254982, GID-254983)</t>
        </is>
      </c>
      <c r="D355" s="8" t="inlineStr">
        <is>
          <t>Contract mapping and client calls</t>
        </is>
      </c>
      <c r="E355" s="18" t="n">
        <v>5</v>
      </c>
      <c r="F355" s="19">
        <f>E355*F$2</f>
        <v/>
      </c>
      <c r="G355" s="19">
        <f>SUM(E355:F355)*G$2</f>
        <v/>
      </c>
      <c r="H355" s="19">
        <f>G355*H$2</f>
        <v/>
      </c>
      <c r="I355" s="19">
        <f>G355*I$2</f>
        <v/>
      </c>
      <c r="J355" s="19">
        <f>SUM(G355:I355)</f>
        <v/>
      </c>
      <c r="K355" s="19">
        <f>J355/8</f>
        <v/>
      </c>
      <c r="L355" t="inlineStr">
        <is>
          <t>ASWD-32</t>
        </is>
      </c>
      <c r="M355" t="inlineStr">
        <is>
          <t>F9</t>
        </is>
      </c>
      <c r="N355" t="inlineStr">
        <is>
          <t>M7</t>
        </is>
      </c>
    </row>
    <row r="356" ht="26" customHeight="1">
      <c r="A356" s="21" t="n"/>
      <c r="B356" s="21" t="n"/>
      <c r="C356" s="21" t="n"/>
      <c r="D356" s="8" t="inlineStr">
        <is>
          <t>Sync service and its trigger rules</t>
        </is>
      </c>
      <c r="E356" s="18" t="n">
        <v>5</v>
      </c>
      <c r="F356" s="19">
        <f>E356*F$2</f>
        <v/>
      </c>
      <c r="G356" s="19">
        <f>SUM(E356:F356)*G$2</f>
        <v/>
      </c>
      <c r="H356" s="19">
        <f>G356*H$2</f>
        <v/>
      </c>
      <c r="I356" s="19">
        <f>G356*I$2</f>
        <v/>
      </c>
      <c r="J356" s="19">
        <f>SUM(G356:I356)</f>
        <v/>
      </c>
      <c r="K356" s="19">
        <f>J356/8</f>
        <v/>
      </c>
      <c r="L356" t="inlineStr">
        <is>
          <t>ASWD-32</t>
        </is>
      </c>
      <c r="M356" t="inlineStr">
        <is>
          <t>F9</t>
        </is>
      </c>
      <c r="N356" t="inlineStr">
        <is>
          <t>M7</t>
        </is>
      </c>
    </row>
    <row r="357" ht="26" customHeight="1">
      <c r="A357" s="21" t="n"/>
      <c r="B357" s="21" t="n"/>
      <c r="C357" s="20" t="n"/>
      <c r="D357" s="8" t="inlineStr">
        <is>
          <t>Status, conflicts and error handling</t>
        </is>
      </c>
      <c r="E357" s="18" t="n">
        <v>4</v>
      </c>
      <c r="F357" s="19">
        <f>E357*F$2</f>
        <v/>
      </c>
      <c r="G357" s="19">
        <f>SUM(E357:F357)*G$2</f>
        <v/>
      </c>
      <c r="H357" s="19">
        <f>G357*H$2</f>
        <v/>
      </c>
      <c r="I357" s="19">
        <f>G357*I$2</f>
        <v/>
      </c>
      <c r="J357" s="19">
        <f>SUM(G357:I357)</f>
        <v/>
      </c>
      <c r="K357" s="19">
        <f>J357/8</f>
        <v/>
      </c>
      <c r="L357" t="inlineStr">
        <is>
          <t>ASWD-32</t>
        </is>
      </c>
      <c r="M357" t="inlineStr">
        <is>
          <t>F9</t>
        </is>
      </c>
      <c r="N357" t="inlineStr">
        <is>
          <t>M7</t>
        </is>
      </c>
    </row>
    <row r="358" ht="26" customHeight="1">
      <c r="A358" s="21" t="n"/>
      <c r="B358" s="21" t="n"/>
      <c r="C358" s="17" t="inlineStr">
        <is>
          <t>Auto-deactivate and reactivate, default profile and password, block admin adding users (GID-254977 to GID-254981)</t>
        </is>
      </c>
      <c r="D358" s="8" t="inlineStr">
        <is>
          <t>Contract mapping and client calls</t>
        </is>
      </c>
      <c r="E358" s="18" t="n">
        <v>4</v>
      </c>
      <c r="F358" s="19">
        <f>E358*F$2</f>
        <v/>
      </c>
      <c r="G358" s="19">
        <f>SUM(E358:F358)*G$2</f>
        <v/>
      </c>
      <c r="H358" s="19">
        <f>G358*H$2</f>
        <v/>
      </c>
      <c r="I358" s="19">
        <f>G358*I$2</f>
        <v/>
      </c>
      <c r="J358" s="19">
        <f>SUM(G358:I358)</f>
        <v/>
      </c>
      <c r="K358" s="19">
        <f>J358/8</f>
        <v/>
      </c>
      <c r="L358" t="inlineStr">
        <is>
          <t>ASWD-32</t>
        </is>
      </c>
      <c r="M358" t="inlineStr">
        <is>
          <t>F9</t>
        </is>
      </c>
      <c r="N358" t="inlineStr">
        <is>
          <t>M7</t>
        </is>
      </c>
    </row>
    <row r="359" ht="26" customHeight="1">
      <c r="A359" s="21" t="n"/>
      <c r="B359" s="21" t="n"/>
      <c r="C359" s="21" t="n"/>
      <c r="D359" s="8" t="inlineStr">
        <is>
          <t>Sync service and its trigger rules</t>
        </is>
      </c>
      <c r="E359" s="18" t="n">
        <v>4</v>
      </c>
      <c r="F359" s="19">
        <f>E359*F$2</f>
        <v/>
      </c>
      <c r="G359" s="19">
        <f>SUM(E359:F359)*G$2</f>
        <v/>
      </c>
      <c r="H359" s="19">
        <f>G359*H$2</f>
        <v/>
      </c>
      <c r="I359" s="19">
        <f>G359*I$2</f>
        <v/>
      </c>
      <c r="J359" s="19">
        <f>SUM(G359:I359)</f>
        <v/>
      </c>
      <c r="K359" s="19">
        <f>J359/8</f>
        <v/>
      </c>
      <c r="L359" t="inlineStr">
        <is>
          <t>ASWD-32</t>
        </is>
      </c>
      <c r="M359" t="inlineStr">
        <is>
          <t>F9</t>
        </is>
      </c>
      <c r="N359" t="inlineStr">
        <is>
          <t>M7</t>
        </is>
      </c>
    </row>
    <row r="360" ht="26" customHeight="1">
      <c r="A360" s="21" t="n"/>
      <c r="B360" s="21" t="n"/>
      <c r="C360" s="20" t="n"/>
      <c r="D360" s="8" t="inlineStr">
        <is>
          <t>Status, conflicts and error handling</t>
        </is>
      </c>
      <c r="E360" s="18" t="n">
        <v>4</v>
      </c>
      <c r="F360" s="19">
        <f>E360*F$2</f>
        <v/>
      </c>
      <c r="G360" s="19">
        <f>SUM(E360:F360)*G$2</f>
        <v/>
      </c>
      <c r="H360" s="19">
        <f>G360*H$2</f>
        <v/>
      </c>
      <c r="I360" s="19">
        <f>G360*I$2</f>
        <v/>
      </c>
      <c r="J360" s="19">
        <f>SUM(G360:I360)</f>
        <v/>
      </c>
      <c r="K360" s="19">
        <f>J360/8</f>
        <v/>
      </c>
      <c r="L360" t="inlineStr">
        <is>
          <t>ASWD-32</t>
        </is>
      </c>
      <c r="M360" t="inlineStr">
        <is>
          <t>F9</t>
        </is>
      </c>
      <c r="N360" t="inlineStr">
        <is>
          <t>M7</t>
        </is>
      </c>
    </row>
    <row r="361" ht="26" customHeight="1">
      <c r="A361" s="21" t="n"/>
      <c r="B361" s="21" t="n"/>
      <c r="C361" s="17" t="inlineStr">
        <is>
          <t>Receive devices from S4H: store device ID, name and serial number, block local edits to them, and follow the service’s active and inactive status (GID-254984 to GID-254987)</t>
        </is>
      </c>
      <c r="D361" s="8" t="inlineStr">
        <is>
          <t>Contract mapping and client calls</t>
        </is>
      </c>
      <c r="E361" s="18" t="n">
        <v>4</v>
      </c>
      <c r="F361" s="19">
        <f>E361*F$2</f>
        <v/>
      </c>
      <c r="G361" s="19">
        <f>SUM(E361:F361)*G$2</f>
        <v/>
      </c>
      <c r="H361" s="19">
        <f>G361*H$2</f>
        <v/>
      </c>
      <c r="I361" s="19">
        <f>G361*I$2</f>
        <v/>
      </c>
      <c r="J361" s="19">
        <f>SUM(G361:I361)</f>
        <v/>
      </c>
      <c r="K361" s="19">
        <f>J361/8</f>
        <v/>
      </c>
      <c r="L361" t="inlineStr">
        <is>
          <t>ASWD-32</t>
        </is>
      </c>
      <c r="M361" t="inlineStr">
        <is>
          <t>F9</t>
        </is>
      </c>
      <c r="N361" t="inlineStr">
        <is>
          <t>M7</t>
        </is>
      </c>
    </row>
    <row r="362" ht="26" customHeight="1">
      <c r="A362" s="21" t="n"/>
      <c r="B362" s="21" t="n"/>
      <c r="C362" s="21" t="n"/>
      <c r="D362" s="8" t="inlineStr">
        <is>
          <t>Sync service and its trigger rules</t>
        </is>
      </c>
      <c r="E362" s="18" t="n">
        <v>4</v>
      </c>
      <c r="F362" s="19">
        <f>E362*F$2</f>
        <v/>
      </c>
      <c r="G362" s="19">
        <f>SUM(E362:F362)*G$2</f>
        <v/>
      </c>
      <c r="H362" s="19">
        <f>G362*H$2</f>
        <v/>
      </c>
      <c r="I362" s="19">
        <f>G362*I$2</f>
        <v/>
      </c>
      <c r="J362" s="19">
        <f>SUM(G362:I362)</f>
        <v/>
      </c>
      <c r="K362" s="19">
        <f>J362/8</f>
        <v/>
      </c>
      <c r="L362" t="inlineStr">
        <is>
          <t>ASWD-32</t>
        </is>
      </c>
      <c r="M362" t="inlineStr">
        <is>
          <t>F9</t>
        </is>
      </c>
      <c r="N362" t="inlineStr">
        <is>
          <t>M7</t>
        </is>
      </c>
    </row>
    <row r="363" ht="26" customHeight="1">
      <c r="A363" s="21" t="n"/>
      <c r="B363" s="21" t="n"/>
      <c r="C363" s="20" t="n"/>
      <c r="D363" s="8" t="inlineStr">
        <is>
          <t>Status, conflicts and error handling</t>
        </is>
      </c>
      <c r="E363" s="18" t="n">
        <v>4</v>
      </c>
      <c r="F363" s="19">
        <f>E363*F$2</f>
        <v/>
      </c>
      <c r="G363" s="19">
        <f>SUM(E363:F363)*G$2</f>
        <v/>
      </c>
      <c r="H363" s="19">
        <f>G363*H$2</f>
        <v/>
      </c>
      <c r="I363" s="19">
        <f>G363*I$2</f>
        <v/>
      </c>
      <c r="J363" s="19">
        <f>SUM(G363:I363)</f>
        <v/>
      </c>
      <c r="K363" s="19">
        <f>J363/8</f>
        <v/>
      </c>
      <c r="L363" t="inlineStr">
        <is>
          <t>ASWD-32</t>
        </is>
      </c>
      <c r="M363" t="inlineStr">
        <is>
          <t>F9</t>
        </is>
      </c>
      <c r="N363" t="inlineStr">
        <is>
          <t>M7</t>
        </is>
      </c>
    </row>
    <row r="364" ht="26" customHeight="1">
      <c r="A364" s="21" t="n"/>
      <c r="B364" s="21" t="n"/>
      <c r="C364" s="17" t="inlineStr">
        <is>
          <t>Receive facilities from S4H and keep them in step, read-only locally (GID-254988 to GID-254991)</t>
        </is>
      </c>
      <c r="D364" s="8" t="inlineStr">
        <is>
          <t>Contract mapping and client calls</t>
        </is>
      </c>
      <c r="E364" s="18" t="n">
        <v>4</v>
      </c>
      <c r="F364" s="19">
        <f>E364*F$2</f>
        <v/>
      </c>
      <c r="G364" s="19">
        <f>SUM(E364:F364)*G$2</f>
        <v/>
      </c>
      <c r="H364" s="19">
        <f>G364*H$2</f>
        <v/>
      </c>
      <c r="I364" s="19">
        <f>G364*I$2</f>
        <v/>
      </c>
      <c r="J364" s="19">
        <f>SUM(G364:I364)</f>
        <v/>
      </c>
      <c r="K364" s="19">
        <f>J364/8</f>
        <v/>
      </c>
      <c r="L364" t="inlineStr">
        <is>
          <t>ASWD-32</t>
        </is>
      </c>
      <c r="M364" t="inlineStr">
        <is>
          <t>F9</t>
        </is>
      </c>
      <c r="N364" t="inlineStr">
        <is>
          <t>M7</t>
        </is>
      </c>
    </row>
    <row r="365" ht="26" customHeight="1">
      <c r="A365" s="21" t="n"/>
      <c r="B365" s="21" t="n"/>
      <c r="C365" s="21" t="n"/>
      <c r="D365" s="8" t="inlineStr">
        <is>
          <t>Sync service and its trigger rules</t>
        </is>
      </c>
      <c r="E365" s="18" t="n">
        <v>4</v>
      </c>
      <c r="F365" s="19">
        <f>E365*F$2</f>
        <v/>
      </c>
      <c r="G365" s="19">
        <f>SUM(E365:F365)*G$2</f>
        <v/>
      </c>
      <c r="H365" s="19">
        <f>G365*H$2</f>
        <v/>
      </c>
      <c r="I365" s="19">
        <f>G365*I$2</f>
        <v/>
      </c>
      <c r="J365" s="19">
        <f>SUM(G365:I365)</f>
        <v/>
      </c>
      <c r="K365" s="19">
        <f>J365/8</f>
        <v/>
      </c>
      <c r="L365" t="inlineStr">
        <is>
          <t>ASWD-32</t>
        </is>
      </c>
      <c r="M365" t="inlineStr">
        <is>
          <t>F9</t>
        </is>
      </c>
      <c r="N365" t="inlineStr">
        <is>
          <t>M7</t>
        </is>
      </c>
    </row>
    <row r="366" ht="26" customHeight="1">
      <c r="A366" s="21" t="n"/>
      <c r="B366" s="21" t="n"/>
      <c r="C366" s="20" t="n"/>
      <c r="D366" s="8" t="inlineStr">
        <is>
          <t>Status, conflicts and error handling</t>
        </is>
      </c>
      <c r="E366" s="18" t="n">
        <v>4</v>
      </c>
      <c r="F366" s="19">
        <f>E366*F$2</f>
        <v/>
      </c>
      <c r="G366" s="19">
        <f>SUM(E366:F366)*G$2</f>
        <v/>
      </c>
      <c r="H366" s="19">
        <f>G366*H$2</f>
        <v/>
      </c>
      <c r="I366" s="19">
        <f>G366*I$2</f>
        <v/>
      </c>
      <c r="J366" s="19">
        <f>SUM(G366:I366)</f>
        <v/>
      </c>
      <c r="K366" s="19">
        <f>J366/8</f>
        <v/>
      </c>
      <c r="L366" t="inlineStr">
        <is>
          <t>ASWD-32</t>
        </is>
      </c>
      <c r="M366" t="inlineStr">
        <is>
          <t>F9</t>
        </is>
      </c>
      <c r="N366" t="inlineStr">
        <is>
          <t>M7</t>
        </is>
      </c>
    </row>
    <row r="367" ht="26" customHeight="1">
      <c r="A367" s="21" t="n"/>
      <c r="B367" s="21" t="n"/>
      <c r="C367" s="17" t="inlineStr">
        <is>
          <t>Receive risk factors from S4H and keep them in step, read-only locally (GID-254992 to GID-254995)</t>
        </is>
      </c>
      <c r="D367" s="8" t="inlineStr">
        <is>
          <t>Contract mapping and client calls</t>
        </is>
      </c>
      <c r="E367" s="18" t="n">
        <v>4</v>
      </c>
      <c r="F367" s="19">
        <f>E367*F$2</f>
        <v/>
      </c>
      <c r="G367" s="19">
        <f>SUM(E367:F367)*G$2</f>
        <v/>
      </c>
      <c r="H367" s="19">
        <f>G367*H$2</f>
        <v/>
      </c>
      <c r="I367" s="19">
        <f>G367*I$2</f>
        <v/>
      </c>
      <c r="J367" s="19">
        <f>SUM(G367:I367)</f>
        <v/>
      </c>
      <c r="K367" s="19">
        <f>J367/8</f>
        <v/>
      </c>
      <c r="L367" t="inlineStr">
        <is>
          <t>ASWD-32</t>
        </is>
      </c>
      <c r="M367" t="inlineStr">
        <is>
          <t>F9</t>
        </is>
      </c>
      <c r="N367" t="inlineStr">
        <is>
          <t>M7</t>
        </is>
      </c>
    </row>
    <row r="368" ht="26" customHeight="1">
      <c r="A368" s="21" t="n"/>
      <c r="B368" s="21" t="n"/>
      <c r="C368" s="21" t="n"/>
      <c r="D368" s="8" t="inlineStr">
        <is>
          <t>Sync service and its trigger rules</t>
        </is>
      </c>
      <c r="E368" s="18" t="n">
        <v>4</v>
      </c>
      <c r="F368" s="19">
        <f>E368*F$2</f>
        <v/>
      </c>
      <c r="G368" s="19">
        <f>SUM(E368:F368)*G$2</f>
        <v/>
      </c>
      <c r="H368" s="19">
        <f>G368*H$2</f>
        <v/>
      </c>
      <c r="I368" s="19">
        <f>G368*I$2</f>
        <v/>
      </c>
      <c r="J368" s="19">
        <f>SUM(G368:I368)</f>
        <v/>
      </c>
      <c r="K368" s="19">
        <f>J368/8</f>
        <v/>
      </c>
      <c r="L368" t="inlineStr">
        <is>
          <t>ASWD-32</t>
        </is>
      </c>
      <c r="M368" t="inlineStr">
        <is>
          <t>F9</t>
        </is>
      </c>
      <c r="N368" t="inlineStr">
        <is>
          <t>M7</t>
        </is>
      </c>
    </row>
    <row r="369" ht="26" customHeight="1">
      <c r="A369" s="21" t="n"/>
      <c r="B369" s="20" t="n"/>
      <c r="C369" s="20" t="n"/>
      <c r="D369" s="8" t="inlineStr">
        <is>
          <t>Status, conflicts and error handling</t>
        </is>
      </c>
      <c r="E369" s="18" t="n">
        <v>4</v>
      </c>
      <c r="F369" s="19">
        <f>E369*F$2</f>
        <v/>
      </c>
      <c r="G369" s="19">
        <f>SUM(E369:F369)*G$2</f>
        <v/>
      </c>
      <c r="H369" s="19">
        <f>G369*H$2</f>
        <v/>
      </c>
      <c r="I369" s="19">
        <f>G369*I$2</f>
        <v/>
      </c>
      <c r="J369" s="19">
        <f>SUM(G369:I369)</f>
        <v/>
      </c>
      <c r="K369" s="19">
        <f>J369/8</f>
        <v/>
      </c>
      <c r="L369" t="inlineStr">
        <is>
          <t>ASWD-32</t>
        </is>
      </c>
      <c r="M369" t="inlineStr">
        <is>
          <t>F9</t>
        </is>
      </c>
      <c r="N369" t="inlineStr">
        <is>
          <t>M7</t>
        </is>
      </c>
    </row>
    <row r="370" ht="26" customHeight="1">
      <c r="A370" s="21" t="n"/>
      <c r="B370" s="17" t="inlineStr">
        <is>
          <t>F10 - S4H: send identifiers, results and NHSP wording</t>
        </is>
      </c>
      <c r="C370" s="17" t="inlineStr">
        <is>
          <t>Site ID, device ID, and inpatient/outpatient facility lists (GID-254972, GID-254973)</t>
        </is>
      </c>
      <c r="D370" s="8" t="inlineStr">
        <is>
          <t>Contract mapping and client calls</t>
        </is>
      </c>
      <c r="E370" s="18" t="n">
        <v>7</v>
      </c>
      <c r="F370" s="19">
        <f>E370*F$2</f>
        <v/>
      </c>
      <c r="G370" s="19">
        <f>SUM(E370:F370)*G$2</f>
        <v/>
      </c>
      <c r="H370" s="19">
        <f>G370*H$2</f>
        <v/>
      </c>
      <c r="I370" s="19">
        <f>G370*I$2</f>
        <v/>
      </c>
      <c r="J370" s="19">
        <f>SUM(G370:I370)</f>
        <v/>
      </c>
      <c r="K370" s="19">
        <f>J370/8</f>
        <v/>
      </c>
      <c r="L370" t="inlineStr">
        <is>
          <t>ASWD-32</t>
        </is>
      </c>
      <c r="M370" t="inlineStr">
        <is>
          <t>F10</t>
        </is>
      </c>
      <c r="N370" t="inlineStr">
        <is>
          <t>M7</t>
        </is>
      </c>
    </row>
    <row r="371" ht="26" customHeight="1">
      <c r="A371" s="21" t="n"/>
      <c r="B371" s="21" t="n"/>
      <c r="C371" s="21" t="n"/>
      <c r="D371" s="8" t="inlineStr">
        <is>
          <t>Sync service and its trigger rules</t>
        </is>
      </c>
      <c r="E371" s="18" t="n">
        <v>6</v>
      </c>
      <c r="F371" s="19">
        <f>E371*F$2</f>
        <v/>
      </c>
      <c r="G371" s="19">
        <f>SUM(E371:F371)*G$2</f>
        <v/>
      </c>
      <c r="H371" s="19">
        <f>G371*H$2</f>
        <v/>
      </c>
      <c r="I371" s="19">
        <f>G371*I$2</f>
        <v/>
      </c>
      <c r="J371" s="19">
        <f>SUM(G371:I371)</f>
        <v/>
      </c>
      <c r="K371" s="19">
        <f>J371/8</f>
        <v/>
      </c>
      <c r="L371" t="inlineStr">
        <is>
          <t>ASWD-32</t>
        </is>
      </c>
      <c r="M371" t="inlineStr">
        <is>
          <t>F10</t>
        </is>
      </c>
      <c r="N371" t="inlineStr">
        <is>
          <t>M7</t>
        </is>
      </c>
    </row>
    <row r="372" ht="26" customHeight="1">
      <c r="A372" s="21" t="n"/>
      <c r="B372" s="21" t="n"/>
      <c r="C372" s="20" t="n"/>
      <c r="D372" s="8" t="inlineStr">
        <is>
          <t>Status, conflicts and error handling</t>
        </is>
      </c>
      <c r="E372" s="18" t="n">
        <v>7</v>
      </c>
      <c r="F372" s="19">
        <f>E372*F$2</f>
        <v/>
      </c>
      <c r="G372" s="19">
        <f>SUM(E372:F372)*G$2</f>
        <v/>
      </c>
      <c r="H372" s="19">
        <f>G372*H$2</f>
        <v/>
      </c>
      <c r="I372" s="19">
        <f>G372*I$2</f>
        <v/>
      </c>
      <c r="J372" s="19">
        <f>SUM(G372:I372)</f>
        <v/>
      </c>
      <c r="K372" s="19">
        <f>J372/8</f>
        <v/>
      </c>
      <c r="L372" t="inlineStr">
        <is>
          <t>ASWD-32</t>
        </is>
      </c>
      <c r="M372" t="inlineStr">
        <is>
          <t>F10</t>
        </is>
      </c>
      <c r="N372" t="inlineStr">
        <is>
          <t>M7</t>
        </is>
      </c>
    </row>
    <row r="373" ht="26" customHeight="1">
      <c r="A373" s="21" t="n"/>
      <c r="B373" s="21" t="n"/>
      <c r="C373" s="17" t="inlineStr">
        <is>
          <t>Test results including binary waveform data (GID-254976)</t>
        </is>
      </c>
      <c r="D373" s="8" t="inlineStr">
        <is>
          <t>Contract mapping and client calls</t>
        </is>
      </c>
      <c r="E373" s="18" t="n">
        <v>4</v>
      </c>
      <c r="F373" s="19">
        <f>E373*F$2</f>
        <v/>
      </c>
      <c r="G373" s="19">
        <f>SUM(E373:F373)*G$2</f>
        <v/>
      </c>
      <c r="H373" s="19">
        <f>G373*H$2</f>
        <v/>
      </c>
      <c r="I373" s="19">
        <f>G373*I$2</f>
        <v/>
      </c>
      <c r="J373" s="19">
        <f>SUM(G373:I373)</f>
        <v/>
      </c>
      <c r="K373" s="19">
        <f>J373/8</f>
        <v/>
      </c>
      <c r="L373" t="inlineStr">
        <is>
          <t>ASWD-32</t>
        </is>
      </c>
      <c r="M373" t="inlineStr">
        <is>
          <t>F10</t>
        </is>
      </c>
      <c r="N373" t="inlineStr">
        <is>
          <t>M7</t>
        </is>
      </c>
    </row>
    <row r="374" ht="26" customHeight="1">
      <c r="A374" s="21" t="n"/>
      <c r="B374" s="21" t="n"/>
      <c r="C374" s="21" t="n"/>
      <c r="D374" s="8" t="inlineStr">
        <is>
          <t>Sync service and its trigger rules</t>
        </is>
      </c>
      <c r="E374" s="18" t="n">
        <v>4</v>
      </c>
      <c r="F374" s="19">
        <f>E374*F$2</f>
        <v/>
      </c>
      <c r="G374" s="19">
        <f>SUM(E374:F374)*G$2</f>
        <v/>
      </c>
      <c r="H374" s="19">
        <f>G374*H$2</f>
        <v/>
      </c>
      <c r="I374" s="19">
        <f>G374*I$2</f>
        <v/>
      </c>
      <c r="J374" s="19">
        <f>SUM(G374:I374)</f>
        <v/>
      </c>
      <c r="K374" s="19">
        <f>J374/8</f>
        <v/>
      </c>
      <c r="L374" t="inlineStr">
        <is>
          <t>ASWD-32</t>
        </is>
      </c>
      <c r="M374" t="inlineStr">
        <is>
          <t>F10</t>
        </is>
      </c>
      <c r="N374" t="inlineStr">
        <is>
          <t>M7</t>
        </is>
      </c>
    </row>
    <row r="375" ht="26" customHeight="1">
      <c r="A375" s="21" t="n"/>
      <c r="B375" s="21" t="n"/>
      <c r="C375" s="20" t="n"/>
      <c r="D375" s="8" t="inlineStr">
        <is>
          <t>Status, conflicts and error handling</t>
        </is>
      </c>
      <c r="E375" s="18" t="n">
        <v>4</v>
      </c>
      <c r="F375" s="19">
        <f>E375*F$2</f>
        <v/>
      </c>
      <c r="G375" s="19">
        <f>SUM(E375:F375)*G$2</f>
        <v/>
      </c>
      <c r="H375" s="19">
        <f>G375*H$2</f>
        <v/>
      </c>
      <c r="I375" s="19">
        <f>G375*I$2</f>
        <v/>
      </c>
      <c r="J375" s="19">
        <f>SUM(G375:I375)</f>
        <v/>
      </c>
      <c r="K375" s="19">
        <f>J375/8</f>
        <v/>
      </c>
      <c r="L375" t="inlineStr">
        <is>
          <t>ASWD-32</t>
        </is>
      </c>
      <c r="M375" t="inlineStr">
        <is>
          <t>F10</t>
        </is>
      </c>
      <c r="N375" t="inlineStr">
        <is>
          <t>M7</t>
        </is>
      </c>
    </row>
    <row r="376" ht="26" customHeight="1">
      <c r="A376" s="21" t="n"/>
      <c r="B376" s="21" t="n"/>
      <c r="C376" s="17" t="inlineStr">
        <is>
          <t>NHSP wording: Pass → Clear Response, Refer → No Clear Response, Surname, Forename (GID-254971)</t>
        </is>
      </c>
      <c r="D376" s="8" t="inlineStr">
        <is>
          <t>Settings entity and storage</t>
        </is>
      </c>
      <c r="E376" s="18" t="n">
        <v>6</v>
      </c>
      <c r="F376" s="19">
        <f>E376*F$2</f>
        <v/>
      </c>
      <c r="G376" s="19">
        <f>SUM(E376:F376)*G$2</f>
        <v/>
      </c>
      <c r="H376" s="19">
        <f>G376*H$2</f>
        <v/>
      </c>
      <c r="I376" s="19">
        <f>G376*I$2</f>
        <v/>
      </c>
      <c r="J376" s="19">
        <f>SUM(G376:I376)</f>
        <v/>
      </c>
      <c r="K376" s="19">
        <f>J376/8</f>
        <v/>
      </c>
      <c r="L376" t="inlineStr">
        <is>
          <t>ASWD-32</t>
        </is>
      </c>
      <c r="M376" t="inlineStr">
        <is>
          <t>F10</t>
        </is>
      </c>
      <c r="N376" t="inlineStr">
        <is>
          <t>M7</t>
        </is>
      </c>
    </row>
    <row r="377" ht="26" customHeight="1">
      <c r="A377" s="21" t="n"/>
      <c r="B377" s="21" t="n"/>
      <c r="C377" s="21" t="n"/>
      <c r="D377" s="8" t="inlineStr">
        <is>
          <t>Configuration screen and validation</t>
        </is>
      </c>
      <c r="E377" s="18" t="n">
        <v>6</v>
      </c>
      <c r="F377" s="19">
        <f>E377*F$2</f>
        <v/>
      </c>
      <c r="G377" s="19">
        <f>SUM(E377:F377)*G$2</f>
        <v/>
      </c>
      <c r="H377" s="19">
        <f>G377*H$2</f>
        <v/>
      </c>
      <c r="I377" s="19">
        <f>G377*I$2</f>
        <v/>
      </c>
      <c r="J377" s="19">
        <f>SUM(G377:I377)</f>
        <v/>
      </c>
      <c r="K377" s="19">
        <f>J377/8</f>
        <v/>
      </c>
      <c r="L377" t="inlineStr">
        <is>
          <t>ASWD-32</t>
        </is>
      </c>
      <c r="M377" t="inlineStr">
        <is>
          <t>F10</t>
        </is>
      </c>
      <c r="N377" t="inlineStr">
        <is>
          <t>M7</t>
        </is>
      </c>
    </row>
    <row r="378" ht="26" customHeight="1">
      <c r="A378" s="20" t="n"/>
      <c r="B378" s="20" t="n"/>
      <c r="C378" s="20" t="n"/>
      <c r="D378" s="8" t="inlineStr">
        <is>
          <t>Apply the setting everywhere it is read</t>
        </is>
      </c>
      <c r="E378" s="18" t="n">
        <v>5</v>
      </c>
      <c r="F378" s="19">
        <f>E378*F$2</f>
        <v/>
      </c>
      <c r="G378" s="19">
        <f>SUM(E378:F378)*G$2</f>
        <v/>
      </c>
      <c r="H378" s="19">
        <f>G378*H$2</f>
        <v/>
      </c>
      <c r="I378" s="19">
        <f>G378*I$2</f>
        <v/>
      </c>
      <c r="J378" s="19">
        <f>SUM(G378:I378)</f>
        <v/>
      </c>
      <c r="K378" s="19">
        <f>J378/8</f>
        <v/>
      </c>
      <c r="L378" t="inlineStr">
        <is>
          <t>ASWD-32</t>
        </is>
      </c>
      <c r="M378" t="inlineStr">
        <is>
          <t>F10</t>
        </is>
      </c>
      <c r="N378" t="inlineStr">
        <is>
          <t>M7</t>
        </is>
      </c>
    </row>
    <row r="379" ht="26" customHeight="1">
      <c r="A379" s="16" t="inlineStr">
        <is>
          <t>ASWD-18</t>
        </is>
      </c>
      <c r="B379" s="17" t="inlineStr">
        <is>
          <t>F1 - Choose the reporting library</t>
        </is>
      </c>
      <c r="C379" s="17" t="inlineStr">
        <is>
          <t>1.5-day timeboxed investigation — there is no reporting library in the solution today, and the choice constrains everything below</t>
        </is>
      </c>
      <c r="D379" s="8" t="inlineStr">
        <is>
          <t>Timeboxed spike against the real data, file or device</t>
        </is>
      </c>
      <c r="E379" s="18" t="n">
        <v>6</v>
      </c>
      <c r="F379" s="19">
        <f>E379*F$2</f>
        <v/>
      </c>
      <c r="G379" s="19">
        <f>SUM(E379:F379)*G$2</f>
        <v/>
      </c>
      <c r="H379" s="19">
        <f>G379*H$2</f>
        <v/>
      </c>
      <c r="I379" s="19">
        <f>G379*I$2</f>
        <v/>
      </c>
      <c r="J379" s="19">
        <f>SUM(G379:I379)</f>
        <v/>
      </c>
      <c r="K379" s="19">
        <f>J379/8</f>
        <v/>
      </c>
      <c r="L379" t="inlineStr">
        <is>
          <t>ASWD-18</t>
        </is>
      </c>
      <c r="M379" t="inlineStr">
        <is>
          <t>F1</t>
        </is>
      </c>
      <c r="N379" t="inlineStr">
        <is>
          <t>M6</t>
        </is>
      </c>
    </row>
    <row r="380" ht="26" customHeight="1">
      <c r="A380" s="21" t="n"/>
      <c r="B380" s="20" t="n"/>
      <c r="C380" s="20" t="n"/>
      <c r="D380" s="8" t="inlineStr">
        <is>
          <t>Write up the findings and the decision</t>
        </is>
      </c>
      <c r="E380" s="18" t="n">
        <v>6</v>
      </c>
      <c r="F380" s="19">
        <f>E380*F$2</f>
        <v/>
      </c>
      <c r="G380" s="19">
        <f>SUM(E380:F380)*G$2</f>
        <v/>
      </c>
      <c r="H380" s="19">
        <f>G380*H$2</f>
        <v/>
      </c>
      <c r="I380" s="19">
        <f>G380*I$2</f>
        <v/>
      </c>
      <c r="J380" s="19">
        <f>SUM(G380:I380)</f>
        <v/>
      </c>
      <c r="K380" s="19">
        <f>J380/8</f>
        <v/>
      </c>
      <c r="L380" t="inlineStr">
        <is>
          <t>ASWD-18</t>
        </is>
      </c>
      <c r="M380" t="inlineStr">
        <is>
          <t>F1</t>
        </is>
      </c>
      <c r="N380" t="inlineStr">
        <is>
          <t>M6</t>
        </is>
      </c>
    </row>
    <row r="381" ht="26" customHeight="1">
      <c r="A381" s="21" t="n"/>
      <c r="B381" s="17" t="inlineStr">
        <is>
          <t>F2 - Generate, preview and print a patient report</t>
        </is>
      </c>
      <c r="C381" s="17" t="inlineStr">
        <is>
          <t>Pick a patient, choose selected tests or all tests, and choose one of the predefined report types (GID-254894)</t>
        </is>
      </c>
      <c r="D381" s="8" t="inlineStr">
        <is>
          <t>Core model and service</t>
        </is>
      </c>
      <c r="E381" s="18" t="n">
        <v>6</v>
      </c>
      <c r="F381" s="19">
        <f>E381*F$2</f>
        <v/>
      </c>
      <c r="G381" s="19">
        <f>SUM(E381:F381)*G$2</f>
        <v/>
      </c>
      <c r="H381" s="19">
        <f>G381*H$2</f>
        <v/>
      </c>
      <c r="I381" s="19">
        <f>G381*I$2</f>
        <v/>
      </c>
      <c r="J381" s="19">
        <f>SUM(G381:I381)</f>
        <v/>
      </c>
      <c r="K381" s="19">
        <f>J381/8</f>
        <v/>
      </c>
      <c r="L381" t="inlineStr">
        <is>
          <t>ASWD-18</t>
        </is>
      </c>
      <c r="M381" t="inlineStr">
        <is>
          <t>F2</t>
        </is>
      </c>
      <c r="N381" t="inlineStr">
        <is>
          <t>M6</t>
        </is>
      </c>
    </row>
    <row r="382" ht="26" customHeight="1">
      <c r="A382" s="21" t="n"/>
      <c r="B382" s="21" t="n"/>
      <c r="C382" s="21" t="n"/>
      <c r="D382" s="8" t="inlineStr">
        <is>
          <t>ViewModel, DTO and converters</t>
        </is>
      </c>
      <c r="E382" s="18" t="n">
        <v>5</v>
      </c>
      <c r="F382" s="19">
        <f>E382*F$2</f>
        <v/>
      </c>
      <c r="G382" s="19">
        <f>SUM(E382:F382)*G$2</f>
        <v/>
      </c>
      <c r="H382" s="19">
        <f>G382*H$2</f>
        <v/>
      </c>
      <c r="I382" s="19">
        <f>G382*I$2</f>
        <v/>
      </c>
      <c r="J382" s="19">
        <f>SUM(G382:I382)</f>
        <v/>
      </c>
      <c r="K382" s="19">
        <f>J382/8</f>
        <v/>
      </c>
      <c r="L382" t="inlineStr">
        <is>
          <t>ASWD-18</t>
        </is>
      </c>
      <c r="M382" t="inlineStr">
        <is>
          <t>F2</t>
        </is>
      </c>
      <c r="N382" t="inlineStr">
        <is>
          <t>M6</t>
        </is>
      </c>
    </row>
    <row r="383" ht="26" customHeight="1">
      <c r="A383" s="21" t="n"/>
      <c r="B383" s="21" t="n"/>
      <c r="C383" s="20" t="n"/>
      <c r="D383" s="8" t="inlineStr">
        <is>
          <t>Screen (XAML) and command wiring</t>
        </is>
      </c>
      <c r="E383" s="18" t="n">
        <v>6</v>
      </c>
      <c r="F383" s="19">
        <f>E383*F$2</f>
        <v/>
      </c>
      <c r="G383" s="19">
        <f>SUM(E383:F383)*G$2</f>
        <v/>
      </c>
      <c r="H383" s="19">
        <f>G383*H$2</f>
        <v/>
      </c>
      <c r="I383" s="19">
        <f>G383*I$2</f>
        <v/>
      </c>
      <c r="J383" s="19">
        <f>SUM(G383:I383)</f>
        <v/>
      </c>
      <c r="K383" s="19">
        <f>J383/8</f>
        <v/>
      </c>
      <c r="L383" t="inlineStr">
        <is>
          <t>ASWD-18</t>
        </is>
      </c>
      <c r="M383" t="inlineStr">
        <is>
          <t>F2</t>
        </is>
      </c>
      <c r="N383" t="inlineStr">
        <is>
          <t>M6</t>
        </is>
      </c>
    </row>
    <row r="384" ht="26" customHeight="1">
      <c r="A384" s="21" t="n"/>
      <c r="B384" s="21" t="n"/>
      <c r="C384" s="17" t="inlineStr">
        <is>
          <t>Render the report with demographic information and test result details (GID-255112)</t>
        </is>
      </c>
      <c r="D384" s="8" t="inlineStr">
        <is>
          <t>Core model and service</t>
        </is>
      </c>
      <c r="E384" s="18" t="n">
        <v>4</v>
      </c>
      <c r="F384" s="19">
        <f>E384*F$2</f>
        <v/>
      </c>
      <c r="G384" s="19">
        <f>SUM(E384:F384)*G$2</f>
        <v/>
      </c>
      <c r="H384" s="19">
        <f>G384*H$2</f>
        <v/>
      </c>
      <c r="I384" s="19">
        <f>G384*I$2</f>
        <v/>
      </c>
      <c r="J384" s="19">
        <f>SUM(G384:I384)</f>
        <v/>
      </c>
      <c r="K384" s="19">
        <f>J384/8</f>
        <v/>
      </c>
      <c r="L384" t="inlineStr">
        <is>
          <t>ASWD-18</t>
        </is>
      </c>
      <c r="M384" t="inlineStr">
        <is>
          <t>F2</t>
        </is>
      </c>
      <c r="N384" t="inlineStr">
        <is>
          <t>M6</t>
        </is>
      </c>
    </row>
    <row r="385" ht="26" customHeight="1">
      <c r="A385" s="21" t="n"/>
      <c r="B385" s="21" t="n"/>
      <c r="C385" s="21" t="n"/>
      <c r="D385" s="8" t="inlineStr">
        <is>
          <t>ViewModel, DTO and converters</t>
        </is>
      </c>
      <c r="E385" s="18" t="n">
        <v>2</v>
      </c>
      <c r="F385" s="19">
        <f>E385*F$2</f>
        <v/>
      </c>
      <c r="G385" s="19">
        <f>SUM(E385:F385)*G$2</f>
        <v/>
      </c>
      <c r="H385" s="19">
        <f>G385*H$2</f>
        <v/>
      </c>
      <c r="I385" s="19">
        <f>G385*I$2</f>
        <v/>
      </c>
      <c r="J385" s="19">
        <f>SUM(G385:I385)</f>
        <v/>
      </c>
      <c r="K385" s="19">
        <f>J385/8</f>
        <v/>
      </c>
      <c r="L385" t="inlineStr">
        <is>
          <t>ASWD-18</t>
        </is>
      </c>
      <c r="M385" t="inlineStr">
        <is>
          <t>F2</t>
        </is>
      </c>
      <c r="N385" t="inlineStr">
        <is>
          <t>M6</t>
        </is>
      </c>
    </row>
    <row r="386" ht="26" customHeight="1">
      <c r="A386" s="21" t="n"/>
      <c r="B386" s="21" t="n"/>
      <c r="C386" s="20" t="n"/>
      <c r="D386" s="8" t="inlineStr">
        <is>
          <t>Screen (XAML) and command wiring</t>
        </is>
      </c>
      <c r="E386" s="18" t="n">
        <v>2</v>
      </c>
      <c r="F386" s="19">
        <f>E386*F$2</f>
        <v/>
      </c>
      <c r="G386" s="19">
        <f>SUM(E386:F386)*G$2</f>
        <v/>
      </c>
      <c r="H386" s="19">
        <f>G386*H$2</f>
        <v/>
      </c>
      <c r="I386" s="19">
        <f>G386*I$2</f>
        <v/>
      </c>
      <c r="J386" s="19">
        <f>SUM(G386:I386)</f>
        <v/>
      </c>
      <c r="K386" s="19">
        <f>J386/8</f>
        <v/>
      </c>
      <c r="L386" t="inlineStr">
        <is>
          <t>ASWD-18</t>
        </is>
      </c>
      <c r="M386" t="inlineStr">
        <is>
          <t>F2</t>
        </is>
      </c>
      <c r="N386" t="inlineStr">
        <is>
          <t>M6</t>
        </is>
      </c>
    </row>
    <row r="387" ht="26" customHeight="1">
      <c r="A387" s="21" t="n"/>
      <c r="B387" s="21" t="n"/>
      <c r="C387" s="17" t="inlineStr">
        <is>
          <t>The ten predefined report templates — Phase 1 per Natus, *needs a new requirement naming the ten*</t>
        </is>
      </c>
      <c r="D387" s="8" t="inlineStr">
        <is>
          <t>Core model and service</t>
        </is>
      </c>
      <c r="E387" s="18" t="n">
        <v>4</v>
      </c>
      <c r="F387" s="19">
        <f>E387*F$2</f>
        <v/>
      </c>
      <c r="G387" s="19">
        <f>SUM(E387:F387)*G$2</f>
        <v/>
      </c>
      <c r="H387" s="19">
        <f>G387*H$2</f>
        <v/>
      </c>
      <c r="I387" s="19">
        <f>G387*I$2</f>
        <v/>
      </c>
      <c r="J387" s="19">
        <f>SUM(G387:I387)</f>
        <v/>
      </c>
      <c r="K387" s="19">
        <f>J387/8</f>
        <v/>
      </c>
      <c r="L387" t="inlineStr">
        <is>
          <t>ASWD-18</t>
        </is>
      </c>
      <c r="M387" t="inlineStr">
        <is>
          <t>F2</t>
        </is>
      </c>
      <c r="N387" t="inlineStr">
        <is>
          <t>M6</t>
        </is>
      </c>
    </row>
    <row r="388" ht="26" customHeight="1">
      <c r="A388" s="21" t="n"/>
      <c r="B388" s="21" t="n"/>
      <c r="C388" s="21" t="n"/>
      <c r="D388" s="8" t="inlineStr">
        <is>
          <t>ViewModel, DTO and converters</t>
        </is>
      </c>
      <c r="E388" s="18" t="n">
        <v>2</v>
      </c>
      <c r="F388" s="19">
        <f>E388*F$2</f>
        <v/>
      </c>
      <c r="G388" s="19">
        <f>SUM(E388:F388)*G$2</f>
        <v/>
      </c>
      <c r="H388" s="19">
        <f>G388*H$2</f>
        <v/>
      </c>
      <c r="I388" s="19">
        <f>G388*I$2</f>
        <v/>
      </c>
      <c r="J388" s="19">
        <f>SUM(G388:I388)</f>
        <v/>
      </c>
      <c r="K388" s="19">
        <f>J388/8</f>
        <v/>
      </c>
      <c r="L388" t="inlineStr">
        <is>
          <t>ASWD-18</t>
        </is>
      </c>
      <c r="M388" t="inlineStr">
        <is>
          <t>F2</t>
        </is>
      </c>
      <c r="N388" t="inlineStr">
        <is>
          <t>M6</t>
        </is>
      </c>
    </row>
    <row r="389" ht="26" customHeight="1">
      <c r="A389" s="21" t="n"/>
      <c r="B389" s="21" t="n"/>
      <c r="C389" s="20" t="n"/>
      <c r="D389" s="8" t="inlineStr">
        <is>
          <t>Screen (XAML) and command wiring</t>
        </is>
      </c>
      <c r="E389" s="18" t="n">
        <v>2</v>
      </c>
      <c r="F389" s="19">
        <f>E389*F$2</f>
        <v/>
      </c>
      <c r="G389" s="19">
        <f>SUM(E389:F389)*G$2</f>
        <v/>
      </c>
      <c r="H389" s="19">
        <f>G389*H$2</f>
        <v/>
      </c>
      <c r="I389" s="19">
        <f>G389*I$2</f>
        <v/>
      </c>
      <c r="J389" s="19">
        <f>SUM(G389:I389)</f>
        <v/>
      </c>
      <c r="K389" s="19">
        <f>J389/8</f>
        <v/>
      </c>
      <c r="L389" t="inlineStr">
        <is>
          <t>ASWD-18</t>
        </is>
      </c>
      <c r="M389" t="inlineStr">
        <is>
          <t>F2</t>
        </is>
      </c>
      <c r="N389" t="inlineStr">
        <is>
          <t>M6</t>
        </is>
      </c>
    </row>
    <row r="390" ht="26" customHeight="1">
      <c r="A390" s="21" t="n"/>
      <c r="B390" s="21" t="n"/>
      <c r="C390" s="17" t="inlineStr">
        <is>
          <t>Preview it on screen before committing to paper</t>
        </is>
      </c>
      <c r="D390" s="8" t="inlineStr">
        <is>
          <t>Core model and service</t>
        </is>
      </c>
      <c r="E390" s="18" t="n">
        <v>3</v>
      </c>
      <c r="F390" s="19">
        <f>E390*F$2</f>
        <v/>
      </c>
      <c r="G390" s="19">
        <f>SUM(E390:F390)*G$2</f>
        <v/>
      </c>
      <c r="H390" s="19">
        <f>G390*H$2</f>
        <v/>
      </c>
      <c r="I390" s="19">
        <f>G390*I$2</f>
        <v/>
      </c>
      <c r="J390" s="19">
        <f>SUM(G390:I390)</f>
        <v/>
      </c>
      <c r="K390" s="19">
        <f>J390/8</f>
        <v/>
      </c>
      <c r="L390" t="inlineStr">
        <is>
          <t>ASWD-18</t>
        </is>
      </c>
      <c r="M390" t="inlineStr">
        <is>
          <t>F2</t>
        </is>
      </c>
      <c r="N390" t="inlineStr">
        <is>
          <t>M6</t>
        </is>
      </c>
    </row>
    <row r="391" ht="26" customHeight="1">
      <c r="A391" s="21" t="n"/>
      <c r="B391" s="21" t="n"/>
      <c r="C391" s="21" t="n"/>
      <c r="D391" s="8" t="inlineStr">
        <is>
          <t>ViewModel, DTO and converters</t>
        </is>
      </c>
      <c r="E391" s="18" t="n">
        <v>2</v>
      </c>
      <c r="F391" s="19">
        <f>E391*F$2</f>
        <v/>
      </c>
      <c r="G391" s="19">
        <f>SUM(E391:F391)*G$2</f>
        <v/>
      </c>
      <c r="H391" s="19">
        <f>G391*H$2</f>
        <v/>
      </c>
      <c r="I391" s="19">
        <f>G391*I$2</f>
        <v/>
      </c>
      <c r="J391" s="19">
        <f>SUM(G391:I391)</f>
        <v/>
      </c>
      <c r="K391" s="19">
        <f>J391/8</f>
        <v/>
      </c>
      <c r="L391" t="inlineStr">
        <is>
          <t>ASWD-18</t>
        </is>
      </c>
      <c r="M391" t="inlineStr">
        <is>
          <t>F2</t>
        </is>
      </c>
      <c r="N391" t="inlineStr">
        <is>
          <t>M6</t>
        </is>
      </c>
    </row>
    <row r="392" ht="26" customHeight="1">
      <c r="A392" s="21" t="n"/>
      <c r="B392" s="21" t="n"/>
      <c r="C392" s="20" t="n"/>
      <c r="D392" s="8" t="inlineStr">
        <is>
          <t>Screen (XAML) and command wiring</t>
        </is>
      </c>
      <c r="E392" s="18" t="n">
        <v>2</v>
      </c>
      <c r="F392" s="19">
        <f>E392*F$2</f>
        <v/>
      </c>
      <c r="G392" s="19">
        <f>SUM(E392:F392)*G$2</f>
        <v/>
      </c>
      <c r="H392" s="19">
        <f>G392*H$2</f>
        <v/>
      </c>
      <c r="I392" s="19">
        <f>G392*I$2</f>
        <v/>
      </c>
      <c r="J392" s="19">
        <f>SUM(G392:I392)</f>
        <v/>
      </c>
      <c r="K392" s="19">
        <f>J392/8</f>
        <v/>
      </c>
      <c r="L392" t="inlineStr">
        <is>
          <t>ASWD-18</t>
        </is>
      </c>
      <c r="M392" t="inlineStr">
        <is>
          <t>F2</t>
        </is>
      </c>
      <c r="N392" t="inlineStr">
        <is>
          <t>M6</t>
        </is>
      </c>
    </row>
    <row r="393" ht="26" customHeight="1">
      <c r="A393" s="21" t="n"/>
      <c r="B393" s="21" t="n"/>
      <c r="C393" s="17" t="inlineStr">
        <is>
          <t>Print, with a progress indicator</t>
        </is>
      </c>
      <c r="D393" s="8" t="inlineStr">
        <is>
          <t>Core model and service</t>
        </is>
      </c>
      <c r="E393" s="18" t="n">
        <v>4</v>
      </c>
      <c r="F393" s="19">
        <f>E393*F$2</f>
        <v/>
      </c>
      <c r="G393" s="19">
        <f>SUM(E393:F393)*G$2</f>
        <v/>
      </c>
      <c r="H393" s="19">
        <f>G393*H$2</f>
        <v/>
      </c>
      <c r="I393" s="19">
        <f>G393*I$2</f>
        <v/>
      </c>
      <c r="J393" s="19">
        <f>SUM(G393:I393)</f>
        <v/>
      </c>
      <c r="K393" s="19">
        <f>J393/8</f>
        <v/>
      </c>
      <c r="L393" t="inlineStr">
        <is>
          <t>ASWD-18</t>
        </is>
      </c>
      <c r="M393" t="inlineStr">
        <is>
          <t>F2</t>
        </is>
      </c>
      <c r="N393" t="inlineStr">
        <is>
          <t>M6</t>
        </is>
      </c>
    </row>
    <row r="394" ht="26" customHeight="1">
      <c r="A394" s="21" t="n"/>
      <c r="B394" s="21" t="n"/>
      <c r="C394" s="21" t="n"/>
      <c r="D394" s="8" t="inlineStr">
        <is>
          <t>ViewModel, DTO and converters</t>
        </is>
      </c>
      <c r="E394" s="18" t="n">
        <v>2</v>
      </c>
      <c r="F394" s="19">
        <f>E394*F$2</f>
        <v/>
      </c>
      <c r="G394" s="19">
        <f>SUM(E394:F394)*G$2</f>
        <v/>
      </c>
      <c r="H394" s="19">
        <f>G394*H$2</f>
        <v/>
      </c>
      <c r="I394" s="19">
        <f>G394*I$2</f>
        <v/>
      </c>
      <c r="J394" s="19">
        <f>SUM(G394:I394)</f>
        <v/>
      </c>
      <c r="K394" s="19">
        <f>J394/8</f>
        <v/>
      </c>
      <c r="L394" t="inlineStr">
        <is>
          <t>ASWD-18</t>
        </is>
      </c>
      <c r="M394" t="inlineStr">
        <is>
          <t>F2</t>
        </is>
      </c>
      <c r="N394" t="inlineStr">
        <is>
          <t>M6</t>
        </is>
      </c>
    </row>
    <row r="395" ht="26" customHeight="1">
      <c r="A395" s="21" t="n"/>
      <c r="B395" s="20" t="n"/>
      <c r="C395" s="20" t="n"/>
      <c r="D395" s="8" t="inlineStr">
        <is>
          <t>Screen (XAML) and command wiring</t>
        </is>
      </c>
      <c r="E395" s="18" t="n">
        <v>2</v>
      </c>
      <c r="F395" s="19">
        <f>E395*F$2</f>
        <v/>
      </c>
      <c r="G395" s="19">
        <f>SUM(E395:F395)*G$2</f>
        <v/>
      </c>
      <c r="H395" s="19">
        <f>G395*H$2</f>
        <v/>
      </c>
      <c r="I395" s="19">
        <f>G395*I$2</f>
        <v/>
      </c>
      <c r="J395" s="19">
        <f>SUM(G395:I395)</f>
        <v/>
      </c>
      <c r="K395" s="19">
        <f>J395/8</f>
        <v/>
      </c>
      <c r="L395" t="inlineStr">
        <is>
          <t>ASWD-18</t>
        </is>
      </c>
      <c r="M395" t="inlineStr">
        <is>
          <t>F2</t>
        </is>
      </c>
      <c r="N395" t="inlineStr">
        <is>
          <t>M6</t>
        </is>
      </c>
    </row>
    <row r="396" ht="26" customHeight="1">
      <c r="A396" s="21" t="n"/>
      <c r="B396" s="17" t="inlineStr">
        <is>
          <t>F3 - Save a report to a file</t>
        </is>
      </c>
      <c r="C396" s="17" t="inlineStr">
        <is>
          <t>Export the report to a supported file format (GID-255113) — *the format list is still needed*</t>
        </is>
      </c>
      <c r="D396" s="8" t="inlineStr">
        <is>
          <t>Report core service</t>
        </is>
      </c>
      <c r="E396" s="18" t="n">
        <v>6</v>
      </c>
      <c r="F396" s="19">
        <f>E396*F$2</f>
        <v/>
      </c>
      <c r="G396" s="19">
        <f>SUM(E396:F396)*G$2</f>
        <v/>
      </c>
      <c r="H396" s="19">
        <f>G396*H$2</f>
        <v/>
      </c>
      <c r="I396" s="19">
        <f>G396*I$2</f>
        <v/>
      </c>
      <c r="J396" s="19">
        <f>SUM(G396:I396)</f>
        <v/>
      </c>
      <c r="K396" s="19">
        <f>J396/8</f>
        <v/>
      </c>
      <c r="L396" t="inlineStr">
        <is>
          <t>ASWD-18</t>
        </is>
      </c>
      <c r="M396" t="inlineStr">
        <is>
          <t>F3</t>
        </is>
      </c>
      <c r="N396" t="inlineStr">
        <is>
          <t>M6</t>
        </is>
      </c>
    </row>
    <row r="397" ht="26" customHeight="1">
      <c r="A397" s="21" t="n"/>
      <c r="B397" s="21" t="n"/>
      <c r="C397" s="21" t="n"/>
      <c r="D397" s="8" t="inlineStr">
        <is>
          <t>Report configuration, import config, export config UI + implementation</t>
        </is>
      </c>
      <c r="E397" s="18" t="n">
        <v>6</v>
      </c>
      <c r="F397" s="19">
        <f>E397*F$2</f>
        <v/>
      </c>
      <c r="G397" s="19">
        <f>SUM(E397:F397)*G$2</f>
        <v/>
      </c>
      <c r="H397" s="19">
        <f>G397*H$2</f>
        <v/>
      </c>
      <c r="I397" s="19">
        <f>G397*I$2</f>
        <v/>
      </c>
      <c r="J397" s="19">
        <f>SUM(G397:I397)</f>
        <v/>
      </c>
      <c r="K397" s="19">
        <f>J397/8</f>
        <v/>
      </c>
      <c r="L397" t="inlineStr">
        <is>
          <t>ASWD-18</t>
        </is>
      </c>
      <c r="M397" t="inlineStr">
        <is>
          <t>F3</t>
        </is>
      </c>
      <c r="N397" t="inlineStr">
        <is>
          <t>M6</t>
        </is>
      </c>
    </row>
    <row r="398" ht="26" customHeight="1">
      <c r="A398" s="21" t="n"/>
      <c r="B398" s="20" t="n"/>
      <c r="C398" s="20" t="n"/>
      <c r="D398" s="8" t="inlineStr">
        <is>
          <t>Import / Export Assistant UI + implementation</t>
        </is>
      </c>
      <c r="E398" s="18" t="n">
        <v>6</v>
      </c>
      <c r="F398" s="19">
        <f>E398*F$2</f>
        <v/>
      </c>
      <c r="G398" s="19">
        <f>SUM(E398:F398)*G$2</f>
        <v/>
      </c>
      <c r="H398" s="19">
        <f>G398*H$2</f>
        <v/>
      </c>
      <c r="I398" s="19">
        <f>G398*I$2</f>
        <v/>
      </c>
      <c r="J398" s="19">
        <f>SUM(G398:I398)</f>
        <v/>
      </c>
      <c r="K398" s="19">
        <f>J398/8</f>
        <v/>
      </c>
      <c r="L398" t="inlineStr">
        <is>
          <t>ASWD-18</t>
        </is>
      </c>
      <c r="M398" t="inlineStr">
        <is>
          <t>F3</t>
        </is>
      </c>
      <c r="N398" t="inlineStr">
        <is>
          <t>M6</t>
        </is>
      </c>
    </row>
    <row r="399" ht="26" customHeight="1">
      <c r="A399" s="21" t="n"/>
      <c r="B399" s="17" t="inlineStr">
        <is>
          <t>F4 - Set the report layout: logo and paper size</t>
        </is>
      </c>
      <c r="C399" s="17" t="inlineStr">
        <is>
          <t>Add a logo from a graphics file and choose the paper format (GID-254965)</t>
        </is>
      </c>
      <c r="D399" s="8" t="inlineStr">
        <is>
          <t>Add a logo from a graphics file and choose the paper format (GID-254965)</t>
        </is>
      </c>
      <c r="E399" s="18" t="n">
        <v>6</v>
      </c>
      <c r="F399" s="19">
        <f>E399*F$2</f>
        <v/>
      </c>
      <c r="G399" s="19">
        <f>SUM(E399:F399)*G$2</f>
        <v/>
      </c>
      <c r="H399" s="19">
        <f>G399*H$2</f>
        <v/>
      </c>
      <c r="I399" s="19">
        <f>G399*I$2</f>
        <v/>
      </c>
      <c r="J399" s="19">
        <f>SUM(G399:I399)</f>
        <v/>
      </c>
      <c r="K399" s="19">
        <f>J399/8</f>
        <v/>
      </c>
      <c r="L399" t="inlineStr">
        <is>
          <t>ASWD-18</t>
        </is>
      </c>
      <c r="M399" t="inlineStr">
        <is>
          <t>F4</t>
        </is>
      </c>
      <c r="N399" t="inlineStr">
        <is>
          <t>M6</t>
        </is>
      </c>
    </row>
    <row r="400" ht="26" customHeight="1">
      <c r="A400" s="21" t="n"/>
      <c r="B400" s="21" t="n"/>
      <c r="C400" s="17" t="inlineStr">
        <is>
          <t>Apply the layout to every report type, and show the change in the preview</t>
        </is>
      </c>
      <c r="D400" s="8" t="inlineStr">
        <is>
          <t>Core model and service</t>
        </is>
      </c>
      <c r="E400" s="18" t="n">
        <v>7</v>
      </c>
      <c r="F400" s="19">
        <f>E400*F$2</f>
        <v/>
      </c>
      <c r="G400" s="19">
        <f>SUM(E400:F400)*G$2</f>
        <v/>
      </c>
      <c r="H400" s="19">
        <f>G400*H$2</f>
        <v/>
      </c>
      <c r="I400" s="19">
        <f>G400*I$2</f>
        <v/>
      </c>
      <c r="J400" s="19">
        <f>SUM(G400:I400)</f>
        <v/>
      </c>
      <c r="K400" s="19">
        <f>J400/8</f>
        <v/>
      </c>
      <c r="L400" t="inlineStr">
        <is>
          <t>ASWD-18</t>
        </is>
      </c>
      <c r="M400" t="inlineStr">
        <is>
          <t>F4</t>
        </is>
      </c>
      <c r="N400" t="inlineStr">
        <is>
          <t>M6</t>
        </is>
      </c>
    </row>
    <row r="401" ht="26" customHeight="1">
      <c r="A401" s="21" t="n"/>
      <c r="B401" s="21" t="n"/>
      <c r="C401" s="21" t="n"/>
      <c r="D401" s="8" t="inlineStr">
        <is>
          <t>ViewModel, DTO and converters</t>
        </is>
      </c>
      <c r="E401" s="18" t="n">
        <v>5</v>
      </c>
      <c r="F401" s="19">
        <f>E401*F$2</f>
        <v/>
      </c>
      <c r="G401" s="19">
        <f>SUM(E401:F401)*G$2</f>
        <v/>
      </c>
      <c r="H401" s="19">
        <f>G401*H$2</f>
        <v/>
      </c>
      <c r="I401" s="19">
        <f>G401*I$2</f>
        <v/>
      </c>
      <c r="J401" s="19">
        <f>SUM(G401:I401)</f>
        <v/>
      </c>
      <c r="K401" s="19">
        <f>J401/8</f>
        <v/>
      </c>
      <c r="L401" t="inlineStr">
        <is>
          <t>ASWD-18</t>
        </is>
      </c>
      <c r="M401" t="inlineStr">
        <is>
          <t>F4</t>
        </is>
      </c>
      <c r="N401" t="inlineStr">
        <is>
          <t>M6</t>
        </is>
      </c>
    </row>
    <row r="402" ht="26" customHeight="1">
      <c r="A402" s="20" t="n"/>
      <c r="B402" s="20" t="n"/>
      <c r="C402" s="20" t="n"/>
      <c r="D402" s="8" t="inlineStr">
        <is>
          <t>Screen (XAML) and command wiring</t>
        </is>
      </c>
      <c r="E402" s="18" t="n">
        <v>5</v>
      </c>
      <c r="F402" s="19">
        <f>E402*F$2</f>
        <v/>
      </c>
      <c r="G402" s="19">
        <f>SUM(E402:F402)*G$2</f>
        <v/>
      </c>
      <c r="H402" s="19">
        <f>G402*H$2</f>
        <v/>
      </c>
      <c r="I402" s="19">
        <f>G402*I$2</f>
        <v/>
      </c>
      <c r="J402" s="19">
        <f>SUM(G402:I402)</f>
        <v/>
      </c>
      <c r="K402" s="19">
        <f>J402/8</f>
        <v/>
      </c>
      <c r="L402" t="inlineStr">
        <is>
          <t>ASWD-18</t>
        </is>
      </c>
      <c r="M402" t="inlineStr">
        <is>
          <t>F4</t>
        </is>
      </c>
      <c r="N402" t="inlineStr">
        <is>
          <t>M6</t>
        </is>
      </c>
    </row>
    <row r="403" ht="26" customHeight="1">
      <c r="A403" s="16" t="inlineStr">
        <is>
          <t>ASWD-19</t>
        </is>
      </c>
      <c r="B403" s="17" t="inlineStr">
        <is>
          <t>F1 - Investigate and build the language switching infrastructure</t>
        </is>
      </c>
      <c r="C403" s="17" t="inlineStr">
        <is>
          <t>2-day timeboxed look at satellite assemblies, per-user language, and Chinese and Japanese text layout — now in scope, not deferred</t>
        </is>
      </c>
      <c r="D403" s="8" t="inlineStr">
        <is>
          <t>Timeboxed spike against the real data, file or device</t>
        </is>
      </c>
      <c r="E403" s="18" t="n">
        <v>5</v>
      </c>
      <c r="F403" s="19">
        <f>E403*F$2</f>
        <v/>
      </c>
      <c r="G403" s="19">
        <f>SUM(E403:F403)*G$2</f>
        <v/>
      </c>
      <c r="H403" s="19">
        <f>G403*H$2</f>
        <v/>
      </c>
      <c r="I403" s="19">
        <f>G403*I$2</f>
        <v/>
      </c>
      <c r="J403" s="19">
        <f>SUM(G403:I403)</f>
        <v/>
      </c>
      <c r="K403" s="19">
        <f>J403/8</f>
        <v/>
      </c>
      <c r="L403" t="inlineStr">
        <is>
          <t>ASWD-19</t>
        </is>
      </c>
      <c r="M403" t="inlineStr">
        <is>
          <t>F1</t>
        </is>
      </c>
      <c r="N403" t="inlineStr">
        <is>
          <t>M6</t>
        </is>
      </c>
    </row>
    <row r="404" ht="26" customHeight="1">
      <c r="A404" s="21" t="n"/>
      <c r="B404" s="21" t="n"/>
      <c r="C404" s="20" t="n"/>
      <c r="D404" s="8" t="inlineStr">
        <is>
          <t>Write up the findings and the decision</t>
        </is>
      </c>
      <c r="E404" s="18" t="n">
        <v>6</v>
      </c>
      <c r="F404" s="19">
        <f>E404*F$2</f>
        <v/>
      </c>
      <c r="G404" s="19">
        <f>SUM(E404:F404)*G$2</f>
        <v/>
      </c>
      <c r="H404" s="19">
        <f>G404*H$2</f>
        <v/>
      </c>
      <c r="I404" s="19">
        <f>G404*I$2</f>
        <v/>
      </c>
      <c r="J404" s="19">
        <f>SUM(G404:I404)</f>
        <v/>
      </c>
      <c r="K404" s="19">
        <f>J404/8</f>
        <v/>
      </c>
      <c r="L404" t="inlineStr">
        <is>
          <t>ASWD-19</t>
        </is>
      </c>
      <c r="M404" t="inlineStr">
        <is>
          <t>F1</t>
        </is>
      </c>
      <c r="N404" t="inlineStr">
        <is>
          <t>M6</t>
        </is>
      </c>
    </row>
    <row r="405" ht="26" customHeight="1">
      <c r="A405" s="21" t="n"/>
      <c r="B405" s="21" t="n"/>
      <c r="C405" s="17" t="inlineStr">
        <is>
          <t>Language switching, English as default, language picker and confirmation prompt (GID-254967, GID-256513, GID-254970)</t>
        </is>
      </c>
      <c r="D405" s="8" t="inlineStr">
        <is>
          <t>Core model and service</t>
        </is>
      </c>
      <c r="E405" s="18" t="n">
        <v>6</v>
      </c>
      <c r="F405" s="19">
        <f>E405*F$2</f>
        <v/>
      </c>
      <c r="G405" s="19">
        <f>SUM(E405:F405)*G$2</f>
        <v/>
      </c>
      <c r="H405" s="19">
        <f>G405*H$2</f>
        <v/>
      </c>
      <c r="I405" s="19">
        <f>G405*I$2</f>
        <v/>
      </c>
      <c r="J405" s="19">
        <f>SUM(G405:I405)</f>
        <v/>
      </c>
      <c r="K405" s="19">
        <f>J405/8</f>
        <v/>
      </c>
      <c r="L405" t="inlineStr">
        <is>
          <t>ASWD-19</t>
        </is>
      </c>
      <c r="M405" t="inlineStr">
        <is>
          <t>F1</t>
        </is>
      </c>
      <c r="N405" t="inlineStr">
        <is>
          <t>M6</t>
        </is>
      </c>
    </row>
    <row r="406" ht="26" customHeight="1">
      <c r="A406" s="21" t="n"/>
      <c r="B406" s="21" t="n"/>
      <c r="C406" s="21" t="n"/>
      <c r="D406" s="8" t="inlineStr">
        <is>
          <t>ViewModel, DTO and converters</t>
        </is>
      </c>
      <c r="E406" s="18" t="n">
        <v>5</v>
      </c>
      <c r="F406" s="19">
        <f>E406*F$2</f>
        <v/>
      </c>
      <c r="G406" s="19">
        <f>SUM(E406:F406)*G$2</f>
        <v/>
      </c>
      <c r="H406" s="19">
        <f>G406*H$2</f>
        <v/>
      </c>
      <c r="I406" s="19">
        <f>G406*I$2</f>
        <v/>
      </c>
      <c r="J406" s="19">
        <f>SUM(G406:I406)</f>
        <v/>
      </c>
      <c r="K406" s="19">
        <f>J406/8</f>
        <v/>
      </c>
      <c r="L406" t="inlineStr">
        <is>
          <t>ASWD-19</t>
        </is>
      </c>
      <c r="M406" t="inlineStr">
        <is>
          <t>F1</t>
        </is>
      </c>
      <c r="N406" t="inlineStr">
        <is>
          <t>M6</t>
        </is>
      </c>
    </row>
    <row r="407" ht="26" customHeight="1">
      <c r="A407" s="21" t="n"/>
      <c r="B407" s="20" t="n"/>
      <c r="C407" s="20" t="n"/>
      <c r="D407" s="8" t="inlineStr">
        <is>
          <t>Screen (XAML) and command wiring</t>
        </is>
      </c>
      <c r="E407" s="18" t="n">
        <v>6</v>
      </c>
      <c r="F407" s="19">
        <f>E407*F$2</f>
        <v/>
      </c>
      <c r="G407" s="19">
        <f>SUM(E407:F407)*G$2</f>
        <v/>
      </c>
      <c r="H407" s="19">
        <f>G407*H$2</f>
        <v/>
      </c>
      <c r="I407" s="19">
        <f>G407*I$2</f>
        <v/>
      </c>
      <c r="J407" s="19">
        <f>SUM(G407:I407)</f>
        <v/>
      </c>
      <c r="K407" s="19">
        <f>J407/8</f>
        <v/>
      </c>
      <c r="L407" t="inlineStr">
        <is>
          <t>ASWD-19</t>
        </is>
      </c>
      <c r="M407" t="inlineStr">
        <is>
          <t>F1</t>
        </is>
      </c>
      <c r="N407" t="inlineStr">
        <is>
          <t>M6</t>
        </is>
      </c>
    </row>
    <row r="408" ht="26" customHeight="1">
      <c r="A408" s="21" t="n"/>
      <c r="B408" s="17" t="inlineStr">
        <is>
          <t>F2 - Merge the duplicated strings and cover every screen</t>
        </is>
      </c>
      <c r="C408" s="17" t="inlineStr">
        <is>
          <t>The same text exists twice — 1,206 entries in AccuSync.WPF and 1,213 in AccuSync.Application, which de-duplicate to 860 distinct strings. Merge them, and move English text out of the service classes</t>
        </is>
      </c>
      <c r="D408" s="8" t="inlineStr">
        <is>
          <t>The same text exists twice — 1,206 entries in AccuSync.WPF and 1,213 in AccuSync.Application, which de-duplicate to 860 distinct strings. Merge them, and move English text out of the service classes</t>
        </is>
      </c>
      <c r="E408" s="18" t="n">
        <v>6</v>
      </c>
      <c r="F408" s="19">
        <f>E408*F$2</f>
        <v/>
      </c>
      <c r="G408" s="19">
        <f>SUM(E408:F408)*G$2</f>
        <v/>
      </c>
      <c r="H408" s="19">
        <f>G408*H$2</f>
        <v/>
      </c>
      <c r="I408" s="19">
        <f>G408*I$2</f>
        <v/>
      </c>
      <c r="J408" s="19">
        <f>SUM(G408:I408)</f>
        <v/>
      </c>
      <c r="K408" s="19">
        <f>J408/8</f>
        <v/>
      </c>
      <c r="L408" t="inlineStr">
        <is>
          <t>ASWD-19</t>
        </is>
      </c>
      <c r="M408" t="inlineStr">
        <is>
          <t>F2</t>
        </is>
      </c>
      <c r="N408" t="inlineStr">
        <is>
          <t>M6</t>
        </is>
      </c>
    </row>
    <row r="409" ht="26" customHeight="1">
      <c r="A409" s="21" t="n"/>
      <c r="B409" s="21" t="n"/>
      <c r="C409" s="17" t="inlineStr">
        <is>
          <t>Go through all text, messages, menus, prompts and results (GID-254969)</t>
        </is>
      </c>
      <c r="D409" s="8" t="inlineStr">
        <is>
          <t>Settings entity and storage</t>
        </is>
      </c>
      <c r="E409" s="18" t="n">
        <v>7</v>
      </c>
      <c r="F409" s="19">
        <f>E409*F$2</f>
        <v/>
      </c>
      <c r="G409" s="19">
        <f>SUM(E409:F409)*G$2</f>
        <v/>
      </c>
      <c r="H409" s="19">
        <f>G409*H$2</f>
        <v/>
      </c>
      <c r="I409" s="19">
        <f>G409*I$2</f>
        <v/>
      </c>
      <c r="J409" s="19">
        <f>SUM(G409:I409)</f>
        <v/>
      </c>
      <c r="K409" s="19">
        <f>J409/8</f>
        <v/>
      </c>
      <c r="L409" t="inlineStr">
        <is>
          <t>ASWD-19</t>
        </is>
      </c>
      <c r="M409" t="inlineStr">
        <is>
          <t>F2</t>
        </is>
      </c>
      <c r="N409" t="inlineStr">
        <is>
          <t>M6</t>
        </is>
      </c>
    </row>
    <row r="410" ht="26" customHeight="1">
      <c r="A410" s="21" t="n"/>
      <c r="B410" s="21" t="n"/>
      <c r="C410" s="21" t="n"/>
      <c r="D410" s="8" t="inlineStr">
        <is>
          <t>Configuration screen and validation</t>
        </is>
      </c>
      <c r="E410" s="18" t="n">
        <v>4</v>
      </c>
      <c r="F410" s="19">
        <f>E410*F$2</f>
        <v/>
      </c>
      <c r="G410" s="19">
        <f>SUM(E410:F410)*G$2</f>
        <v/>
      </c>
      <c r="H410" s="19">
        <f>G410*H$2</f>
        <v/>
      </c>
      <c r="I410" s="19">
        <f>G410*I$2</f>
        <v/>
      </c>
      <c r="J410" s="19">
        <f>SUM(G410:I410)</f>
        <v/>
      </c>
      <c r="K410" s="19">
        <f>J410/8</f>
        <v/>
      </c>
      <c r="L410" t="inlineStr">
        <is>
          <t>ASWD-19</t>
        </is>
      </c>
      <c r="M410" t="inlineStr">
        <is>
          <t>F2</t>
        </is>
      </c>
      <c r="N410" t="inlineStr">
        <is>
          <t>M6</t>
        </is>
      </c>
    </row>
    <row r="411" ht="26" customHeight="1">
      <c r="A411" s="21" t="n"/>
      <c r="B411" s="20" t="n"/>
      <c r="C411" s="20" t="n"/>
      <c r="D411" s="8" t="inlineStr">
        <is>
          <t>Apply the setting everywhere it is read</t>
        </is>
      </c>
      <c r="E411" s="18" t="n">
        <v>6</v>
      </c>
      <c r="F411" s="19">
        <f>E411*F$2</f>
        <v/>
      </c>
      <c r="G411" s="19">
        <f>SUM(E411:F411)*G$2</f>
        <v/>
      </c>
      <c r="H411" s="19">
        <f>G411*H$2</f>
        <v/>
      </c>
      <c r="I411" s="19">
        <f>G411*I$2</f>
        <v/>
      </c>
      <c r="J411" s="19">
        <f>SUM(G411:I411)</f>
        <v/>
      </c>
      <c r="K411" s="19">
        <f>J411/8</f>
        <v/>
      </c>
      <c r="L411" t="inlineStr">
        <is>
          <t>ASWD-19</t>
        </is>
      </c>
      <c r="M411" t="inlineStr">
        <is>
          <t>F2</t>
        </is>
      </c>
      <c r="N411" t="inlineStr">
        <is>
          <t>M6</t>
        </is>
      </c>
    </row>
    <row r="412" ht="26" customHeight="1">
      <c r="A412" s="21" t="n"/>
      <c r="B412" s="17" t="inlineStr">
        <is>
          <t>F3 - Review and freeze the strings, and produce the translation pack</t>
        </is>
      </c>
      <c r="C412" s="17" t="inlineStr">
        <is>
          <t>Review and finalise all 860 strings before any translation starts — Natus’s condition</t>
        </is>
      </c>
      <c r="D412" s="8" t="inlineStr">
        <is>
          <t>Resource files and the per-language entries</t>
        </is>
      </c>
      <c r="E412" s="18" t="n">
        <v>6</v>
      </c>
      <c r="F412" s="19">
        <f>E412*F$2</f>
        <v/>
      </c>
      <c r="G412" s="19">
        <f>SUM(E412:F412)*G$2</f>
        <v/>
      </c>
      <c r="H412" s="19">
        <f>G412*H$2</f>
        <v/>
      </c>
      <c r="I412" s="19">
        <f>G412*I$2</f>
        <v/>
      </c>
      <c r="J412" s="19">
        <f>SUM(G412:I412)</f>
        <v/>
      </c>
      <c r="K412" s="19">
        <f>J412/8</f>
        <v/>
      </c>
      <c r="L412" t="inlineStr">
        <is>
          <t>ASWD-19</t>
        </is>
      </c>
      <c r="M412" t="inlineStr">
        <is>
          <t>F3</t>
        </is>
      </c>
      <c r="N412" t="inlineStr">
        <is>
          <t>M6</t>
        </is>
      </c>
    </row>
    <row r="413" ht="26" customHeight="1">
      <c r="A413" s="21" t="n"/>
      <c r="B413" s="21" t="n"/>
      <c r="C413" s="20" t="n"/>
      <c r="D413" s="8" t="inlineStr">
        <is>
          <t>Picker, default language and reload behaviour</t>
        </is>
      </c>
      <c r="E413" s="18" t="n">
        <v>5</v>
      </c>
      <c r="F413" s="19">
        <f>E413*F$2</f>
        <v/>
      </c>
      <c r="G413" s="19">
        <f>SUM(E413:F413)*G$2</f>
        <v/>
      </c>
      <c r="H413" s="19">
        <f>G413*H$2</f>
        <v/>
      </c>
      <c r="I413" s="19">
        <f>G413*I$2</f>
        <v/>
      </c>
      <c r="J413" s="19">
        <f>SUM(G413:I413)</f>
        <v/>
      </c>
      <c r="K413" s="19">
        <f>J413/8</f>
        <v/>
      </c>
      <c r="L413" t="inlineStr">
        <is>
          <t>ASWD-19</t>
        </is>
      </c>
      <c r="M413" t="inlineStr">
        <is>
          <t>F3</t>
        </is>
      </c>
      <c r="N413" t="inlineStr">
        <is>
          <t>M6</t>
        </is>
      </c>
    </row>
    <row r="414" ht="26" customHeight="1">
      <c r="A414" s="21" t="n"/>
      <c r="B414" s="21" t="n"/>
      <c r="C414" s="17" t="inlineStr">
        <is>
          <t>Build the pack the distribution partners receive: every string with the screen it appears on, plus a screenshot of each screen — Natus asked for screenshots</t>
        </is>
      </c>
      <c r="D414" s="8" t="inlineStr">
        <is>
          <t>Core model and service</t>
        </is>
      </c>
      <c r="E414" s="18" t="n">
        <v>6</v>
      </c>
      <c r="F414" s="19">
        <f>E414*F$2</f>
        <v/>
      </c>
      <c r="G414" s="19">
        <f>SUM(E414:F414)*G$2</f>
        <v/>
      </c>
      <c r="H414" s="19">
        <f>G414*H$2</f>
        <v/>
      </c>
      <c r="I414" s="19">
        <f>G414*I$2</f>
        <v/>
      </c>
      <c r="J414" s="19">
        <f>SUM(G414:I414)</f>
        <v/>
      </c>
      <c r="K414" s="19">
        <f>J414/8</f>
        <v/>
      </c>
      <c r="L414" t="inlineStr">
        <is>
          <t>ASWD-19</t>
        </is>
      </c>
      <c r="M414" t="inlineStr">
        <is>
          <t>F3</t>
        </is>
      </c>
      <c r="N414" t="inlineStr">
        <is>
          <t>M6</t>
        </is>
      </c>
    </row>
    <row r="415" ht="26" customHeight="1">
      <c r="A415" s="21" t="n"/>
      <c r="B415" s="21" t="n"/>
      <c r="C415" s="21" t="n"/>
      <c r="D415" s="8" t="inlineStr">
        <is>
          <t>ViewModel, DTO and converters</t>
        </is>
      </c>
      <c r="E415" s="18" t="n">
        <v>4</v>
      </c>
      <c r="F415" s="19">
        <f>E415*F$2</f>
        <v/>
      </c>
      <c r="G415" s="19">
        <f>SUM(E415:F415)*G$2</f>
        <v/>
      </c>
      <c r="H415" s="19">
        <f>G415*H$2</f>
        <v/>
      </c>
      <c r="I415" s="19">
        <f>G415*I$2</f>
        <v/>
      </c>
      <c r="J415" s="19">
        <f>SUM(G415:I415)</f>
        <v/>
      </c>
      <c r="K415" s="19">
        <f>J415/8</f>
        <v/>
      </c>
      <c r="L415" t="inlineStr">
        <is>
          <t>ASWD-19</t>
        </is>
      </c>
      <c r="M415" t="inlineStr">
        <is>
          <t>F3</t>
        </is>
      </c>
      <c r="N415" t="inlineStr">
        <is>
          <t>M6</t>
        </is>
      </c>
    </row>
    <row r="416" ht="26" customHeight="1">
      <c r="A416" s="21" t="n"/>
      <c r="B416" s="21" t="n"/>
      <c r="C416" s="20" t="n"/>
      <c r="D416" s="8" t="inlineStr">
        <is>
          <t>Screen (XAML) and command wiring</t>
        </is>
      </c>
      <c r="E416" s="18" t="n">
        <v>5</v>
      </c>
      <c r="F416" s="19">
        <f>E416*F$2</f>
        <v/>
      </c>
      <c r="G416" s="19">
        <f>SUM(E416:F416)*G$2</f>
        <v/>
      </c>
      <c r="H416" s="19">
        <f>G416*H$2</f>
        <v/>
      </c>
      <c r="I416" s="19">
        <f>G416*I$2</f>
        <v/>
      </c>
      <c r="J416" s="19">
        <f>SUM(G416:I416)</f>
        <v/>
      </c>
      <c r="K416" s="19">
        <f>J416/8</f>
        <v/>
      </c>
      <c r="L416" t="inlineStr">
        <is>
          <t>ASWD-19</t>
        </is>
      </c>
      <c r="M416" t="inlineStr">
        <is>
          <t>F3</t>
        </is>
      </c>
      <c r="N416" t="inlineStr">
        <is>
          <t>M6</t>
        </is>
      </c>
    </row>
    <row r="417" ht="26" customHeight="1">
      <c r="A417" s="21" t="n"/>
      <c r="B417" s="21" t="n"/>
      <c r="C417" s="17" t="inlineStr">
        <is>
          <t>Capture the screenshots once the screens are final</t>
        </is>
      </c>
      <c r="D417" s="8" t="inlineStr">
        <is>
          <t>Core model and service</t>
        </is>
      </c>
      <c r="E417" s="18" t="n">
        <v>2</v>
      </c>
      <c r="F417" s="19">
        <f>E417*F$2</f>
        <v/>
      </c>
      <c r="G417" s="19">
        <f>SUM(E417:F417)*G$2</f>
        <v/>
      </c>
      <c r="H417" s="19">
        <f>G417*H$2</f>
        <v/>
      </c>
      <c r="I417" s="19">
        <f>G417*I$2</f>
        <v/>
      </c>
      <c r="J417" s="19">
        <f>SUM(G417:I417)</f>
        <v/>
      </c>
      <c r="K417" s="19">
        <f>J417/8</f>
        <v/>
      </c>
      <c r="L417" t="inlineStr">
        <is>
          <t>ASWD-19</t>
        </is>
      </c>
      <c r="M417" t="inlineStr">
        <is>
          <t>F3</t>
        </is>
      </c>
      <c r="N417" t="inlineStr">
        <is>
          <t>M6</t>
        </is>
      </c>
    </row>
    <row r="418" ht="26" customHeight="1">
      <c r="A418" s="21" t="n"/>
      <c r="B418" s="21" t="n"/>
      <c r="C418" s="21" t="n"/>
      <c r="D418" s="8" t="inlineStr">
        <is>
          <t>ViewModel, DTO and converters</t>
        </is>
      </c>
      <c r="E418" s="18" t="n">
        <v>1</v>
      </c>
      <c r="F418" s="19">
        <f>E418*F$2</f>
        <v/>
      </c>
      <c r="G418" s="19">
        <f>SUM(E418:F418)*G$2</f>
        <v/>
      </c>
      <c r="H418" s="19">
        <f>G418*H$2</f>
        <v/>
      </c>
      <c r="I418" s="19">
        <f>G418*I$2</f>
        <v/>
      </c>
      <c r="J418" s="19">
        <f>SUM(G418:I418)</f>
        <v/>
      </c>
      <c r="K418" s="19">
        <f>J418/8</f>
        <v/>
      </c>
      <c r="L418" t="inlineStr">
        <is>
          <t>ASWD-19</t>
        </is>
      </c>
      <c r="M418" t="inlineStr">
        <is>
          <t>F3</t>
        </is>
      </c>
      <c r="N418" t="inlineStr">
        <is>
          <t>M6</t>
        </is>
      </c>
    </row>
    <row r="419" ht="26" customHeight="1">
      <c r="A419" s="21" t="n"/>
      <c r="B419" s="21" t="n"/>
      <c r="C419" s="20" t="n"/>
      <c r="D419" s="8" t="inlineStr">
        <is>
          <t>Screen (XAML) and command wiring</t>
        </is>
      </c>
      <c r="E419" s="18" t="n">
        <v>2</v>
      </c>
      <c r="F419" s="19">
        <f>E419*F$2</f>
        <v/>
      </c>
      <c r="G419" s="19">
        <f>SUM(E419:F419)*G$2</f>
        <v/>
      </c>
      <c r="H419" s="19">
        <f>G419*H$2</f>
        <v/>
      </c>
      <c r="I419" s="19">
        <f>G419*I$2</f>
        <v/>
      </c>
      <c r="J419" s="19">
        <f>SUM(G419:I419)</f>
        <v/>
      </c>
      <c r="K419" s="19">
        <f>J419/8</f>
        <v/>
      </c>
      <c r="L419" t="inlineStr">
        <is>
          <t>ASWD-19</t>
        </is>
      </c>
      <c r="M419" t="inlineStr">
        <is>
          <t>F3</t>
        </is>
      </c>
      <c r="N419" t="inlineStr">
        <is>
          <t>M6</t>
        </is>
      </c>
    </row>
    <row r="420" ht="26" customHeight="1">
      <c r="A420" s="21" t="n"/>
      <c r="B420" s="21" t="n"/>
      <c r="C420" s="17" t="inlineStr">
        <is>
          <t>Import returned translations and flag anything missing, changed or untranslated</t>
        </is>
      </c>
      <c r="D420" s="8" t="inlineStr">
        <is>
          <t>Resource files and the per-language entries</t>
        </is>
      </c>
      <c r="E420" s="18" t="n">
        <v>2</v>
      </c>
      <c r="F420" s="19">
        <f>E420*F$2</f>
        <v/>
      </c>
      <c r="G420" s="19">
        <f>SUM(E420:F420)*G$2</f>
        <v/>
      </c>
      <c r="H420" s="19">
        <f>G420*H$2</f>
        <v/>
      </c>
      <c r="I420" s="19">
        <f>G420*I$2</f>
        <v/>
      </c>
      <c r="J420" s="19">
        <f>SUM(G420:I420)</f>
        <v/>
      </c>
      <c r="K420" s="19">
        <f>J420/8</f>
        <v/>
      </c>
      <c r="L420" t="inlineStr">
        <is>
          <t>ASWD-19</t>
        </is>
      </c>
      <c r="M420" t="inlineStr">
        <is>
          <t>F3</t>
        </is>
      </c>
      <c r="N420" t="inlineStr">
        <is>
          <t>M6</t>
        </is>
      </c>
    </row>
    <row r="421" ht="26" customHeight="1">
      <c r="A421" s="21" t="n"/>
      <c r="B421" s="20" t="n"/>
      <c r="C421" s="20" t="n"/>
      <c r="D421" s="8" t="inlineStr">
        <is>
          <t>Picker, default language and reload behaviour</t>
        </is>
      </c>
      <c r="E421" s="18" t="n">
        <v>1</v>
      </c>
      <c r="F421" s="19">
        <f>E421*F$2</f>
        <v/>
      </c>
      <c r="G421" s="19">
        <f>SUM(E421:F421)*G$2</f>
        <v/>
      </c>
      <c r="H421" s="19">
        <f>G421*H$2</f>
        <v/>
      </c>
      <c r="I421" s="19">
        <f>G421*I$2</f>
        <v/>
      </c>
      <c r="J421" s="19">
        <f>SUM(G421:I421)</f>
        <v/>
      </c>
      <c r="K421" s="19">
        <f>J421/8</f>
        <v/>
      </c>
      <c r="L421" t="inlineStr">
        <is>
          <t>ASWD-19</t>
        </is>
      </c>
      <c r="M421" t="inlineStr">
        <is>
          <t>F3</t>
        </is>
      </c>
      <c r="N421" t="inlineStr">
        <is>
          <t>M6</t>
        </is>
      </c>
    </row>
    <row r="422" ht="26" customHeight="1">
      <c r="A422" s="21" t="n"/>
      <c r="B422" s="17" t="inlineStr">
        <is>
          <t>F4 - Phase 1: French, Italian, German, Spanish</t>
        </is>
      </c>
      <c r="C422" s="17" t="inlineStr">
        <is>
          <t>Resource set, load and smoke-test every screen for each of the four (GID-254968 — the full 14-language list, delivered across F4, F5 and F6)</t>
        </is>
      </c>
      <c r="D422" s="8" t="inlineStr">
        <is>
          <t>Core model and service</t>
        </is>
      </c>
      <c r="E422" s="18" t="n">
        <v>8</v>
      </c>
      <c r="F422" s="19">
        <f>E422*F$2</f>
        <v/>
      </c>
      <c r="G422" s="19">
        <f>SUM(E422:F422)*G$2</f>
        <v/>
      </c>
      <c r="H422" s="19">
        <f>G422*H$2</f>
        <v/>
      </c>
      <c r="I422" s="19">
        <f>G422*I$2</f>
        <v/>
      </c>
      <c r="J422" s="19">
        <f>SUM(G422:I422)</f>
        <v/>
      </c>
      <c r="K422" s="19">
        <f>J422/8</f>
        <v/>
      </c>
      <c r="L422" t="inlineStr">
        <is>
          <t>ASWD-19</t>
        </is>
      </c>
      <c r="M422" t="inlineStr">
        <is>
          <t>F4</t>
        </is>
      </c>
      <c r="N422" t="inlineStr">
        <is>
          <t>M8</t>
        </is>
      </c>
    </row>
    <row r="423" ht="26" customHeight="1">
      <c r="A423" s="21" t="n"/>
      <c r="B423" s="21" t="n"/>
      <c r="C423" s="21" t="n"/>
      <c r="D423" s="8" t="inlineStr">
        <is>
          <t>ViewModel, DTO and converters</t>
        </is>
      </c>
      <c r="E423" s="18" t="n">
        <v>8</v>
      </c>
      <c r="F423" s="19">
        <f>E423*F$2</f>
        <v/>
      </c>
      <c r="G423" s="19">
        <f>SUM(E423:F423)*G$2</f>
        <v/>
      </c>
      <c r="H423" s="19">
        <f>G423*H$2</f>
        <v/>
      </c>
      <c r="I423" s="19">
        <f>G423*I$2</f>
        <v/>
      </c>
      <c r="J423" s="19">
        <f>SUM(G423:I423)</f>
        <v/>
      </c>
      <c r="K423" s="19">
        <f>J423/8</f>
        <v/>
      </c>
      <c r="L423" t="inlineStr">
        <is>
          <t>ASWD-19</t>
        </is>
      </c>
      <c r="M423" t="inlineStr">
        <is>
          <t>F4</t>
        </is>
      </c>
      <c r="N423" t="inlineStr">
        <is>
          <t>M8</t>
        </is>
      </c>
    </row>
    <row r="424" ht="26" customHeight="1">
      <c r="A424" s="21" t="n"/>
      <c r="B424" s="21" t="n"/>
      <c r="C424" s="20" t="n"/>
      <c r="D424" s="8" t="inlineStr">
        <is>
          <t>Screen (XAML) and command wiring</t>
        </is>
      </c>
      <c r="E424" s="18" t="n">
        <v>8</v>
      </c>
      <c r="F424" s="19">
        <f>E424*F$2</f>
        <v/>
      </c>
      <c r="G424" s="19">
        <f>SUM(E424:F424)*G$2</f>
        <v/>
      </c>
      <c r="H424" s="19">
        <f>G424*H$2</f>
        <v/>
      </c>
      <c r="I424" s="19">
        <f>G424*I$2</f>
        <v/>
      </c>
      <c r="J424" s="19">
        <f>SUM(G424:I424)</f>
        <v/>
      </c>
      <c r="K424" s="19">
        <f>J424/8</f>
        <v/>
      </c>
      <c r="L424" t="inlineStr">
        <is>
          <t>ASWD-19</t>
        </is>
      </c>
      <c r="M424" t="inlineStr">
        <is>
          <t>F4</t>
        </is>
      </c>
      <c r="N424" t="inlineStr">
        <is>
          <t>M8</t>
        </is>
      </c>
    </row>
    <row r="425" ht="26" customHeight="1">
      <c r="A425" s="21" t="n"/>
      <c r="B425" s="21" t="n"/>
      <c r="C425" s="17" t="inlineStr">
        <is>
          <t>Fix the layout truncation real translations expose — German and French run 20–30% longer than English</t>
        </is>
      </c>
      <c r="D425" s="8" t="inlineStr">
        <is>
          <t>Resource files and the per-language entries</t>
        </is>
      </c>
      <c r="E425" s="18" t="n">
        <v>8</v>
      </c>
      <c r="F425" s="19">
        <f>E425*F$2</f>
        <v/>
      </c>
      <c r="G425" s="19">
        <f>SUM(E425:F425)*G$2</f>
        <v/>
      </c>
      <c r="H425" s="19">
        <f>G425*H$2</f>
        <v/>
      </c>
      <c r="I425" s="19">
        <f>G425*I$2</f>
        <v/>
      </c>
      <c r="J425" s="19">
        <f>SUM(G425:I425)</f>
        <v/>
      </c>
      <c r="K425" s="19">
        <f>J425/8</f>
        <v/>
      </c>
      <c r="L425" t="inlineStr">
        <is>
          <t>ASWD-19</t>
        </is>
      </c>
      <c r="M425" t="inlineStr">
        <is>
          <t>F4</t>
        </is>
      </c>
      <c r="N425" t="inlineStr">
        <is>
          <t>M8</t>
        </is>
      </c>
    </row>
    <row r="426" ht="26" customHeight="1">
      <c r="A426" s="21" t="n"/>
      <c r="B426" s="20" t="n"/>
      <c r="C426" s="20" t="n"/>
      <c r="D426" s="8" t="inlineStr">
        <is>
          <t>Picker, default language and reload behaviour</t>
        </is>
      </c>
      <c r="E426" s="18" t="n">
        <v>5</v>
      </c>
      <c r="F426" s="19">
        <f>E426*F$2</f>
        <v/>
      </c>
      <c r="G426" s="19">
        <f>SUM(E426:F426)*G$2</f>
        <v/>
      </c>
      <c r="H426" s="19">
        <f>G426*H$2</f>
        <v/>
      </c>
      <c r="I426" s="19">
        <f>G426*I$2</f>
        <v/>
      </c>
      <c r="J426" s="19">
        <f>SUM(G426:I426)</f>
        <v/>
      </c>
      <c r="K426" s="19">
        <f>J426/8</f>
        <v/>
      </c>
      <c r="L426" t="inlineStr">
        <is>
          <t>ASWD-19</t>
        </is>
      </c>
      <c r="M426" t="inlineStr">
        <is>
          <t>F4</t>
        </is>
      </c>
      <c r="N426" t="inlineStr">
        <is>
          <t>M8</t>
        </is>
      </c>
    </row>
    <row r="427" ht="26" customHeight="1">
      <c r="A427" s="21" t="n"/>
      <c r="B427" s="17" t="inlineStr">
        <is>
          <t>F5 - Phase 2: Brazilian Portuguese, Chinese (simplified), Chinese (traditional), Japanese</t>
        </is>
      </c>
      <c r="C427" s="17" t="inlineStr">
        <is>
          <t>Resource set, load and smoke-test for each of the four</t>
        </is>
      </c>
      <c r="D427" s="8" t="inlineStr">
        <is>
          <t>Resource set, load and smoke-test for each of the four</t>
        </is>
      </c>
      <c r="E427" s="18" t="n">
        <v>8</v>
      </c>
      <c r="F427" s="19">
        <f>E427*F$2</f>
        <v/>
      </c>
      <c r="G427" s="19">
        <f>SUM(E427:F427)*G$2</f>
        <v/>
      </c>
      <c r="H427" s="19">
        <f>G427*H$2</f>
        <v/>
      </c>
      <c r="I427" s="19">
        <f>G427*I$2</f>
        <v/>
      </c>
      <c r="J427" s="19">
        <f>SUM(G427:I427)</f>
        <v/>
      </c>
      <c r="K427" s="19">
        <f>J427/8</f>
        <v/>
      </c>
      <c r="L427" t="inlineStr">
        <is>
          <t>ASWD-19</t>
        </is>
      </c>
      <c r="M427" t="inlineStr">
        <is>
          <t>F5</t>
        </is>
      </c>
      <c r="N427" t="inlineStr">
        <is>
          <t>M8</t>
        </is>
      </c>
    </row>
    <row r="428" ht="26" customHeight="1">
      <c r="A428" s="21" t="n"/>
      <c r="B428" s="21" t="n"/>
      <c r="C428" s="17" t="inlineStr">
        <is>
          <t>Chinese and Japanese support: fonts that carry the full character set, text measurement and line breaking, and no character loss through export, report or print</t>
        </is>
      </c>
      <c r="D428" s="8" t="inlineStr">
        <is>
          <t>Core model and service</t>
        </is>
      </c>
      <c r="E428" s="18" t="n">
        <v>8</v>
      </c>
      <c r="F428" s="19">
        <f>E428*F$2</f>
        <v/>
      </c>
      <c r="G428" s="19">
        <f>SUM(E428:F428)*G$2</f>
        <v/>
      </c>
      <c r="H428" s="19">
        <f>G428*H$2</f>
        <v/>
      </c>
      <c r="I428" s="19">
        <f>G428*I$2</f>
        <v/>
      </c>
      <c r="J428" s="19">
        <f>SUM(G428:I428)</f>
        <v/>
      </c>
      <c r="K428" s="19">
        <f>J428/8</f>
        <v/>
      </c>
      <c r="L428" t="inlineStr">
        <is>
          <t>ASWD-19</t>
        </is>
      </c>
      <c r="M428" t="inlineStr">
        <is>
          <t>F5</t>
        </is>
      </c>
      <c r="N428" t="inlineStr">
        <is>
          <t>M8</t>
        </is>
      </c>
    </row>
    <row r="429" ht="26" customHeight="1">
      <c r="A429" s="21" t="n"/>
      <c r="B429" s="21" t="n"/>
      <c r="C429" s="21" t="n"/>
      <c r="D429" s="8" t="inlineStr">
        <is>
          <t>ViewModel, DTO and converters</t>
        </is>
      </c>
      <c r="E429" s="18" t="n">
        <v>8</v>
      </c>
      <c r="F429" s="19">
        <f>E429*F$2</f>
        <v/>
      </c>
      <c r="G429" s="19">
        <f>SUM(E429:F429)*G$2</f>
        <v/>
      </c>
      <c r="H429" s="19">
        <f>G429*H$2</f>
        <v/>
      </c>
      <c r="I429" s="19">
        <f>G429*I$2</f>
        <v/>
      </c>
      <c r="J429" s="19">
        <f>SUM(G429:I429)</f>
        <v/>
      </c>
      <c r="K429" s="19">
        <f>J429/8</f>
        <v/>
      </c>
      <c r="L429" t="inlineStr">
        <is>
          <t>ASWD-19</t>
        </is>
      </c>
      <c r="M429" t="inlineStr">
        <is>
          <t>F5</t>
        </is>
      </c>
      <c r="N429" t="inlineStr">
        <is>
          <t>M8</t>
        </is>
      </c>
    </row>
    <row r="430" ht="26" customHeight="1">
      <c r="A430" s="21" t="n"/>
      <c r="B430" s="21" t="n"/>
      <c r="C430" s="20" t="n"/>
      <c r="D430" s="8" t="inlineStr">
        <is>
          <t>Screen (XAML) and command wiring</t>
        </is>
      </c>
      <c r="E430" s="18" t="n">
        <v>8</v>
      </c>
      <c r="F430" s="19">
        <f>E430*F$2</f>
        <v/>
      </c>
      <c r="G430" s="19">
        <f>SUM(E430:F430)*G$2</f>
        <v/>
      </c>
      <c r="H430" s="19">
        <f>G430*H$2</f>
        <v/>
      </c>
      <c r="I430" s="19">
        <f>G430*I$2</f>
        <v/>
      </c>
      <c r="J430" s="19">
        <f>SUM(G430:I430)</f>
        <v/>
      </c>
      <c r="K430" s="19">
        <f>J430/8</f>
        <v/>
      </c>
      <c r="L430" t="inlineStr">
        <is>
          <t>ASWD-19</t>
        </is>
      </c>
      <c r="M430" t="inlineStr">
        <is>
          <t>F5</t>
        </is>
      </c>
      <c r="N430" t="inlineStr">
        <is>
          <t>M8</t>
        </is>
      </c>
    </row>
    <row r="431" ht="26" customHeight="1">
      <c r="A431" s="21" t="n"/>
      <c r="B431" s="20" t="n"/>
      <c r="C431" s="17" t="inlineStr">
        <is>
          <t>Verify the three dropdown value lists and all validation messages render correctly</t>
        </is>
      </c>
      <c r="D431" s="8" t="inlineStr">
        <is>
          <t>Verify the three dropdown value lists and all validation messages render correctly</t>
        </is>
      </c>
      <c r="E431" s="18" t="n">
        <v>8</v>
      </c>
      <c r="F431" s="19">
        <f>E431*F$2</f>
        <v/>
      </c>
      <c r="G431" s="19">
        <f>SUM(E431:F431)*G$2</f>
        <v/>
      </c>
      <c r="H431" s="19">
        <f>G431*H$2</f>
        <v/>
      </c>
      <c r="I431" s="19">
        <f>G431*I$2</f>
        <v/>
      </c>
      <c r="J431" s="19">
        <f>SUM(G431:I431)</f>
        <v/>
      </c>
      <c r="K431" s="19">
        <f>J431/8</f>
        <v/>
      </c>
      <c r="L431" t="inlineStr">
        <is>
          <t>ASWD-19</t>
        </is>
      </c>
      <c r="M431" t="inlineStr">
        <is>
          <t>F5</t>
        </is>
      </c>
      <c r="N431" t="inlineStr">
        <is>
          <t>M8</t>
        </is>
      </c>
    </row>
    <row r="432" ht="26" customHeight="1">
      <c r="A432" s="21" t="n"/>
      <c r="B432" s="17" t="inlineStr">
        <is>
          <t>F6 - Phase 3: Norwegian, Danish, Finnish, Swedish, Turkish</t>
        </is>
      </c>
      <c r="C432" s="17" t="inlineStr">
        <is>
          <t>Resource set, load and smoke-test for each of the five</t>
        </is>
      </c>
      <c r="D432" s="8" t="inlineStr">
        <is>
          <t>Resource set, load and smoke-test for each of the five</t>
        </is>
      </c>
      <c r="E432" s="18" t="n">
        <v>8</v>
      </c>
      <c r="F432" s="19">
        <f>E432*F$2</f>
        <v/>
      </c>
      <c r="G432" s="19">
        <f>SUM(E432:F432)*G$2</f>
        <v/>
      </c>
      <c r="H432" s="19">
        <f>G432*H$2</f>
        <v/>
      </c>
      <c r="I432" s="19">
        <f>G432*I$2</f>
        <v/>
      </c>
      <c r="J432" s="19">
        <f>SUM(G432:I432)</f>
        <v/>
      </c>
      <c r="K432" s="19">
        <f>J432/8</f>
        <v/>
      </c>
      <c r="L432" t="inlineStr">
        <is>
          <t>ASWD-19</t>
        </is>
      </c>
      <c r="M432" t="inlineStr">
        <is>
          <t>F6</t>
        </is>
      </c>
      <c r="N432" t="inlineStr">
        <is>
          <t>M8</t>
        </is>
      </c>
    </row>
    <row r="433" ht="26" customHeight="1">
      <c r="A433" s="21" t="n"/>
      <c r="B433" s="21" t="n"/>
      <c r="C433" s="17" t="inlineStr">
        <is>
          <t>Turkish casing: culture-aware upper and lower case and comparison, because Turkish has a dotless *i* and .NET’s default casing corrupts it</t>
        </is>
      </c>
      <c r="D433" s="8" t="inlineStr">
        <is>
          <t>Turkish casing: culture-aware upper and lower case and comparison, because Turkish has a dotless *i* and .NET’s default casing corrupts it</t>
        </is>
      </c>
      <c r="E433" s="18" t="n">
        <v>8</v>
      </c>
      <c r="F433" s="19">
        <f>E433*F$2</f>
        <v/>
      </c>
      <c r="G433" s="19">
        <f>SUM(E433:F433)*G$2</f>
        <v/>
      </c>
      <c r="H433" s="19">
        <f>G433*H$2</f>
        <v/>
      </c>
      <c r="I433" s="19">
        <f>G433*I$2</f>
        <v/>
      </c>
      <c r="J433" s="19">
        <f>SUM(G433:I433)</f>
        <v/>
      </c>
      <c r="K433" s="19">
        <f>J433/8</f>
        <v/>
      </c>
      <c r="L433" t="inlineStr">
        <is>
          <t>ASWD-19</t>
        </is>
      </c>
      <c r="M433" t="inlineStr">
        <is>
          <t>F6</t>
        </is>
      </c>
      <c r="N433" t="inlineStr">
        <is>
          <t>M8</t>
        </is>
      </c>
    </row>
    <row r="434" ht="26" customHeight="1">
      <c r="A434" s="20" t="n"/>
      <c r="B434" s="20" t="n"/>
      <c r="C434" s="17" t="inlineStr">
        <is>
          <t>Finnish and Norwegian layout checks — long compound words break narrow columns</t>
        </is>
      </c>
      <c r="D434" s="8" t="inlineStr">
        <is>
          <t>Finnish and Norwegian layout checks — long compound words break narrow columns</t>
        </is>
      </c>
      <c r="E434" s="18" t="n">
        <v>8</v>
      </c>
      <c r="F434" s="19">
        <f>E434*F$2</f>
        <v/>
      </c>
      <c r="G434" s="19">
        <f>SUM(E434:F434)*G$2</f>
        <v/>
      </c>
      <c r="H434" s="19">
        <f>G434*H$2</f>
        <v/>
      </c>
      <c r="I434" s="19">
        <f>G434*I$2</f>
        <v/>
      </c>
      <c r="J434" s="19">
        <f>SUM(G434:I434)</f>
        <v/>
      </c>
      <c r="K434" s="19">
        <f>J434/8</f>
        <v/>
      </c>
      <c r="L434" t="inlineStr">
        <is>
          <t>ASWD-19</t>
        </is>
      </c>
      <c r="M434" t="inlineStr">
        <is>
          <t>F6</t>
        </is>
      </c>
      <c r="N434" t="inlineStr">
        <is>
          <t>M8</t>
        </is>
      </c>
    </row>
    <row r="435" ht="26" customHeight="1">
      <c r="A435" s="16" t="inlineStr">
        <is>
          <t>ASWD-21</t>
        </is>
      </c>
      <c r="B435" s="17" t="inlineStr">
        <is>
          <t>F1 - Discover the device protocol and create the communication project</t>
        </is>
      </c>
      <c r="C435" s="17" t="inlineStr">
        <is>
          <t>3-day timeboxed discovery against a real device</t>
        </is>
      </c>
      <c r="D435" s="8" t="inlineStr">
        <is>
          <t>Timeboxed spike against the real data, file or device</t>
        </is>
      </c>
      <c r="E435" s="18" t="n">
        <v>8</v>
      </c>
      <c r="F435" s="19">
        <f>E435*F$2</f>
        <v/>
      </c>
      <c r="G435" s="19">
        <f>SUM(E435:F435)*G$2</f>
        <v/>
      </c>
      <c r="H435" s="19">
        <f>G435*H$2</f>
        <v/>
      </c>
      <c r="I435" s="19">
        <f>G435*I$2</f>
        <v/>
      </c>
      <c r="J435" s="19">
        <f>SUM(G435:I435)</f>
        <v/>
      </c>
      <c r="K435" s="19">
        <f>J435/8</f>
        <v/>
      </c>
      <c r="L435" t="inlineStr">
        <is>
          <t>ASWD-21</t>
        </is>
      </c>
      <c r="M435" t="inlineStr">
        <is>
          <t>F1</t>
        </is>
      </c>
      <c r="N435" t="inlineStr">
        <is>
          <t>M7</t>
        </is>
      </c>
    </row>
    <row r="436" ht="26" customHeight="1">
      <c r="A436" s="21" t="n"/>
      <c r="B436" s="21" t="n"/>
      <c r="C436" s="20" t="n"/>
      <c r="D436" s="8" t="inlineStr">
        <is>
          <t>Write up the findings and the decision</t>
        </is>
      </c>
      <c r="E436" s="18" t="n">
        <v>8</v>
      </c>
      <c r="F436" s="19">
        <f>E436*F$2</f>
        <v/>
      </c>
      <c r="G436" s="19">
        <f>SUM(E436:F436)*G$2</f>
        <v/>
      </c>
      <c r="H436" s="19">
        <f>G436*H$2</f>
        <v/>
      </c>
      <c r="I436" s="19">
        <f>G436*I$2</f>
        <v/>
      </c>
      <c r="J436" s="19">
        <f>SUM(G436:I436)</f>
        <v/>
      </c>
      <c r="K436" s="19">
        <f>J436/8</f>
        <v/>
      </c>
      <c r="L436" t="inlineStr">
        <is>
          <t>ASWD-21</t>
        </is>
      </c>
      <c r="M436" t="inlineStr">
        <is>
          <t>F1</t>
        </is>
      </c>
      <c r="N436" t="inlineStr">
        <is>
          <t>M7</t>
        </is>
      </c>
    </row>
    <row r="437" ht="26" customHeight="1">
      <c r="A437" s="21" t="n"/>
      <c r="B437" s="21" t="n"/>
      <c r="C437" s="17" t="inlineStr">
        <is>
          <t>New AccuSync.Adapters.DeviceCommunication project and its interfaces in Core</t>
        </is>
      </c>
      <c r="D437" s="8" t="inlineStr">
        <is>
          <t>Transport and protocol handling</t>
        </is>
      </c>
      <c r="E437" s="18" t="n">
        <v>8</v>
      </c>
      <c r="F437" s="19">
        <f>E437*F$2</f>
        <v/>
      </c>
      <c r="G437" s="19">
        <f>SUM(E437:F437)*G$2</f>
        <v/>
      </c>
      <c r="H437" s="19">
        <f>G437*H$2</f>
        <v/>
      </c>
      <c r="I437" s="19">
        <f>G437*I$2</f>
        <v/>
      </c>
      <c r="J437" s="19">
        <f>SUM(G437:I437)</f>
        <v/>
      </c>
      <c r="K437" s="19">
        <f>J437/8</f>
        <v/>
      </c>
      <c r="L437" t="inlineStr">
        <is>
          <t>ASWD-21</t>
        </is>
      </c>
      <c r="M437" t="inlineStr">
        <is>
          <t>F1</t>
        </is>
      </c>
      <c r="N437" t="inlineStr">
        <is>
          <t>M7</t>
        </is>
      </c>
    </row>
    <row r="438" ht="26" customHeight="1">
      <c r="A438" s="21" t="n"/>
      <c r="B438" s="21" t="n"/>
      <c r="C438" s="21" t="n"/>
      <c r="D438" s="8" t="inlineStr">
        <is>
          <t>Core interfaces and adapter service</t>
        </is>
      </c>
      <c r="E438" s="18" t="n">
        <v>8</v>
      </c>
      <c r="F438" s="19">
        <f>E438*F$2</f>
        <v/>
      </c>
      <c r="G438" s="19">
        <f>SUM(E438:F438)*G$2</f>
        <v/>
      </c>
      <c r="H438" s="19">
        <f>G438*H$2</f>
        <v/>
      </c>
      <c r="I438" s="19">
        <f>G438*I$2</f>
        <v/>
      </c>
      <c r="J438" s="19">
        <f>SUM(G438:I438)</f>
        <v/>
      </c>
      <c r="K438" s="19">
        <f>J438/8</f>
        <v/>
      </c>
      <c r="L438" t="inlineStr">
        <is>
          <t>ASWD-21</t>
        </is>
      </c>
      <c r="M438" t="inlineStr">
        <is>
          <t>F1</t>
        </is>
      </c>
      <c r="N438" t="inlineStr">
        <is>
          <t>M7</t>
        </is>
      </c>
    </row>
    <row r="439" ht="26" customHeight="1">
      <c r="A439" s="21" t="n"/>
      <c r="B439" s="20" t="n"/>
      <c r="C439" s="20" t="n"/>
      <c r="D439" s="8" t="inlineStr">
        <is>
          <t>On-screen status and error feedback</t>
        </is>
      </c>
      <c r="E439" s="18" t="n">
        <v>8</v>
      </c>
      <c r="F439" s="19">
        <f>E439*F$2</f>
        <v/>
      </c>
      <c r="G439" s="19">
        <f>SUM(E439:F439)*G$2</f>
        <v/>
      </c>
      <c r="H439" s="19">
        <f>G439*H$2</f>
        <v/>
      </c>
      <c r="I439" s="19">
        <f>G439*I$2</f>
        <v/>
      </c>
      <c r="J439" s="19">
        <f>SUM(G439:I439)</f>
        <v/>
      </c>
      <c r="K439" s="19">
        <f>J439/8</f>
        <v/>
      </c>
      <c r="L439" t="inlineStr">
        <is>
          <t>ASWD-21</t>
        </is>
      </c>
      <c r="M439" t="inlineStr">
        <is>
          <t>F1</t>
        </is>
      </c>
      <c r="N439" t="inlineStr">
        <is>
          <t>M7</t>
        </is>
      </c>
    </row>
    <row r="440" ht="26" customHeight="1">
      <c r="A440" s="21" t="n"/>
      <c r="B440" s="17" t="inlineStr">
        <is>
          <t>F2 - Connect to devices over USB and show connection status</t>
        </is>
      </c>
      <c r="C440" s="17" t="inlineStr">
        <is>
          <t>USB transport, device discovery, connect and disconnect (GID-254996)</t>
        </is>
      </c>
      <c r="D440" s="8" t="inlineStr">
        <is>
          <t>Timeboxed spike against the real data, file or device</t>
        </is>
      </c>
      <c r="E440" s="18" t="n">
        <v>8</v>
      </c>
      <c r="F440" s="19">
        <f>E440*F$2</f>
        <v/>
      </c>
      <c r="G440" s="19">
        <f>SUM(E440:F440)*G$2</f>
        <v/>
      </c>
      <c r="H440" s="19">
        <f>G440*H$2</f>
        <v/>
      </c>
      <c r="I440" s="19">
        <f>G440*I$2</f>
        <v/>
      </c>
      <c r="J440" s="19">
        <f>SUM(G440:I440)</f>
        <v/>
      </c>
      <c r="K440" s="19">
        <f>J440/8</f>
        <v/>
      </c>
      <c r="L440" t="inlineStr">
        <is>
          <t>ASWD-21</t>
        </is>
      </c>
      <c r="M440" t="inlineStr">
        <is>
          <t>F2</t>
        </is>
      </c>
      <c r="N440" t="inlineStr">
        <is>
          <t>M7</t>
        </is>
      </c>
    </row>
    <row r="441" ht="26" customHeight="1">
      <c r="A441" s="21" t="n"/>
      <c r="B441" s="21" t="n"/>
      <c r="C441" s="20" t="n"/>
      <c r="D441" s="8" t="inlineStr">
        <is>
          <t>Write up the findings and the decision</t>
        </is>
      </c>
      <c r="E441" s="18" t="n">
        <v>8</v>
      </c>
      <c r="F441" s="19">
        <f>E441*F$2</f>
        <v/>
      </c>
      <c r="G441" s="19">
        <f>SUM(E441:F441)*G$2</f>
        <v/>
      </c>
      <c r="H441" s="19">
        <f>G441*H$2</f>
        <v/>
      </c>
      <c r="I441" s="19">
        <f>G441*I$2</f>
        <v/>
      </c>
      <c r="J441" s="19">
        <f>SUM(G441:I441)</f>
        <v/>
      </c>
      <c r="K441" s="19">
        <f>J441/8</f>
        <v/>
      </c>
      <c r="L441" t="inlineStr">
        <is>
          <t>ASWD-21</t>
        </is>
      </c>
      <c r="M441" t="inlineStr">
        <is>
          <t>F2</t>
        </is>
      </c>
      <c r="N441" t="inlineStr">
        <is>
          <t>M7</t>
        </is>
      </c>
    </row>
    <row r="442" ht="26" customHeight="1">
      <c r="A442" s="21" t="n"/>
      <c r="B442" s="21" t="n"/>
      <c r="C442" s="17" t="inlineStr">
        <is>
          <t>Show connected / disconnected / connecting, with visual indicators (GID-254997, GID-255010)</t>
        </is>
      </c>
      <c r="D442" s="8" t="inlineStr">
        <is>
          <t>Transport and protocol handling</t>
        </is>
      </c>
      <c r="E442" s="18" t="n">
        <v>8</v>
      </c>
      <c r="F442" s="19">
        <f>E442*F$2</f>
        <v/>
      </c>
      <c r="G442" s="19">
        <f>SUM(E442:F442)*G$2</f>
        <v/>
      </c>
      <c r="H442" s="19">
        <f>G442*H$2</f>
        <v/>
      </c>
      <c r="I442" s="19">
        <f>G442*I$2</f>
        <v/>
      </c>
      <c r="J442" s="19">
        <f>SUM(G442:I442)</f>
        <v/>
      </c>
      <c r="K442" s="19">
        <f>J442/8</f>
        <v/>
      </c>
      <c r="L442" t="inlineStr">
        <is>
          <t>ASWD-21</t>
        </is>
      </c>
      <c r="M442" t="inlineStr">
        <is>
          <t>F2</t>
        </is>
      </c>
      <c r="N442" t="inlineStr">
        <is>
          <t>M7</t>
        </is>
      </c>
    </row>
    <row r="443" ht="26" customHeight="1">
      <c r="A443" s="21" t="n"/>
      <c r="B443" s="21" t="n"/>
      <c r="C443" s="21" t="n"/>
      <c r="D443" s="8" t="inlineStr">
        <is>
          <t>Core interfaces and adapter service</t>
        </is>
      </c>
      <c r="E443" s="18" t="n">
        <v>8</v>
      </c>
      <c r="F443" s="19">
        <f>E443*F$2</f>
        <v/>
      </c>
      <c r="G443" s="19">
        <f>SUM(E443:F443)*G$2</f>
        <v/>
      </c>
      <c r="H443" s="19">
        <f>G443*H$2</f>
        <v/>
      </c>
      <c r="I443" s="19">
        <f>G443*I$2</f>
        <v/>
      </c>
      <c r="J443" s="19">
        <f>SUM(G443:I443)</f>
        <v/>
      </c>
      <c r="K443" s="19">
        <f>J443/8</f>
        <v/>
      </c>
      <c r="L443" t="inlineStr">
        <is>
          <t>ASWD-21</t>
        </is>
      </c>
      <c r="M443" t="inlineStr">
        <is>
          <t>F2</t>
        </is>
      </c>
      <c r="N443" t="inlineStr">
        <is>
          <t>M7</t>
        </is>
      </c>
    </row>
    <row r="444" ht="26" customHeight="1">
      <c r="A444" s="21" t="n"/>
      <c r="B444" s="20" t="n"/>
      <c r="C444" s="20" t="n"/>
      <c r="D444" s="8" t="inlineStr">
        <is>
          <t>On-screen status and error feedback</t>
        </is>
      </c>
      <c r="E444" s="18" t="n">
        <v>8</v>
      </c>
      <c r="F444" s="19">
        <f>E444*F$2</f>
        <v/>
      </c>
      <c r="G444" s="19">
        <f>SUM(E444:F444)*G$2</f>
        <v/>
      </c>
      <c r="H444" s="19">
        <f>G444*H$2</f>
        <v/>
      </c>
      <c r="I444" s="19">
        <f>G444*I$2</f>
        <v/>
      </c>
      <c r="J444" s="19">
        <f>SUM(G444:I444)</f>
        <v/>
      </c>
      <c r="K444" s="19">
        <f>J444/8</f>
        <v/>
      </c>
      <c r="L444" t="inlineStr">
        <is>
          <t>ASWD-21</t>
        </is>
      </c>
      <c r="M444" t="inlineStr">
        <is>
          <t>F2</t>
        </is>
      </c>
      <c r="N444" t="inlineStr">
        <is>
          <t>M7</t>
        </is>
      </c>
    </row>
    <row r="445" ht="26" customHeight="1">
      <c r="A445" s="21" t="n"/>
      <c r="B445" s="17" t="inlineStr">
        <is>
          <t>F3 - Read device information, patient demographics and test results</t>
        </is>
      </c>
      <c r="C445" s="17" t="inlineStr">
        <is>
          <t>Firmware version and device identification (GID-254998)</t>
        </is>
      </c>
      <c r="D445" s="8" t="inlineStr">
        <is>
          <t>Transport and protocol handling</t>
        </is>
      </c>
      <c r="E445" s="18" t="n">
        <v>8</v>
      </c>
      <c r="F445" s="19">
        <f>E445*F$2</f>
        <v/>
      </c>
      <c r="G445" s="19">
        <f>SUM(E445:F445)*G$2</f>
        <v/>
      </c>
      <c r="H445" s="19">
        <f>G445*H$2</f>
        <v/>
      </c>
      <c r="I445" s="19">
        <f>G445*I$2</f>
        <v/>
      </c>
      <c r="J445" s="19">
        <f>SUM(G445:I445)</f>
        <v/>
      </c>
      <c r="K445" s="19">
        <f>J445/8</f>
        <v/>
      </c>
      <c r="L445" t="inlineStr">
        <is>
          <t>ASWD-21</t>
        </is>
      </c>
      <c r="M445" t="inlineStr">
        <is>
          <t>F3</t>
        </is>
      </c>
      <c r="N445" t="inlineStr">
        <is>
          <t>M7</t>
        </is>
      </c>
    </row>
    <row r="446" ht="26" customHeight="1">
      <c r="A446" s="21" t="n"/>
      <c r="B446" s="21" t="n"/>
      <c r="C446" s="21" t="n"/>
      <c r="D446" s="8" t="inlineStr">
        <is>
          <t>Core interfaces and adapter service</t>
        </is>
      </c>
      <c r="E446" s="18" t="n">
        <v>8</v>
      </c>
      <c r="F446" s="19">
        <f>E446*F$2</f>
        <v/>
      </c>
      <c r="G446" s="19">
        <f>SUM(E446:F446)*G$2</f>
        <v/>
      </c>
      <c r="H446" s="19">
        <f>G446*H$2</f>
        <v/>
      </c>
      <c r="I446" s="19">
        <f>G446*I$2</f>
        <v/>
      </c>
      <c r="J446" s="19">
        <f>SUM(G446:I446)</f>
        <v/>
      </c>
      <c r="K446" s="19">
        <f>J446/8</f>
        <v/>
      </c>
      <c r="L446" t="inlineStr">
        <is>
          <t>ASWD-21</t>
        </is>
      </c>
      <c r="M446" t="inlineStr">
        <is>
          <t>F3</t>
        </is>
      </c>
      <c r="N446" t="inlineStr">
        <is>
          <t>M7</t>
        </is>
      </c>
    </row>
    <row r="447" ht="26" customHeight="1">
      <c r="A447" s="21" t="n"/>
      <c r="B447" s="21" t="n"/>
      <c r="C447" s="20" t="n"/>
      <c r="D447" s="8" t="inlineStr">
        <is>
          <t>On-screen status and error feedback</t>
        </is>
      </c>
      <c r="E447" s="18" t="n">
        <v>8</v>
      </c>
      <c r="F447" s="19">
        <f>E447*F$2</f>
        <v/>
      </c>
      <c r="G447" s="19">
        <f>SUM(E447:F447)*G$2</f>
        <v/>
      </c>
      <c r="H447" s="19">
        <f>G447*H$2</f>
        <v/>
      </c>
      <c r="I447" s="19">
        <f>G447*I$2</f>
        <v/>
      </c>
      <c r="J447" s="19">
        <f>SUM(G447:I447)</f>
        <v/>
      </c>
      <c r="K447" s="19">
        <f>J447/8</f>
        <v/>
      </c>
      <c r="L447" t="inlineStr">
        <is>
          <t>ASWD-21</t>
        </is>
      </c>
      <c r="M447" t="inlineStr">
        <is>
          <t>F3</t>
        </is>
      </c>
      <c r="N447" t="inlineStr">
        <is>
          <t>M7</t>
        </is>
      </c>
    </row>
    <row r="448" ht="26" customHeight="1">
      <c r="A448" s="21" t="n"/>
      <c r="B448" s="21" t="n"/>
      <c r="C448" s="17" t="inlineStr">
        <is>
          <t>Patient demographics and test results (GID-255000, GID-255044, GID-255045)</t>
        </is>
      </c>
      <c r="D448" s="8" t="inlineStr">
        <is>
          <t>Transport and protocol handling</t>
        </is>
      </c>
      <c r="E448" s="18" t="n">
        <v>2</v>
      </c>
      <c r="F448" s="19">
        <f>E448*F$2</f>
        <v/>
      </c>
      <c r="G448" s="19">
        <f>SUM(E448:F448)*G$2</f>
        <v/>
      </c>
      <c r="H448" s="19">
        <f>G448*H$2</f>
        <v/>
      </c>
      <c r="I448" s="19">
        <f>G448*I$2</f>
        <v/>
      </c>
      <c r="J448" s="19">
        <f>SUM(G448:I448)</f>
        <v/>
      </c>
      <c r="K448" s="19">
        <f>J448/8</f>
        <v/>
      </c>
      <c r="L448" t="inlineStr">
        <is>
          <t>ASWD-21</t>
        </is>
      </c>
      <c r="M448" t="inlineStr">
        <is>
          <t>F3</t>
        </is>
      </c>
      <c r="N448" t="inlineStr">
        <is>
          <t>M7</t>
        </is>
      </c>
    </row>
    <row r="449" ht="26" customHeight="1">
      <c r="A449" s="21" t="n"/>
      <c r="B449" s="21" t="n"/>
      <c r="C449" s="21" t="n"/>
      <c r="D449" s="8" t="inlineStr">
        <is>
          <t>Core interfaces and adapter service</t>
        </is>
      </c>
      <c r="E449" s="18" t="n">
        <v>2</v>
      </c>
      <c r="F449" s="19">
        <f>E449*F$2</f>
        <v/>
      </c>
      <c r="G449" s="19">
        <f>SUM(E449:F449)*G$2</f>
        <v/>
      </c>
      <c r="H449" s="19">
        <f>G449*H$2</f>
        <v/>
      </c>
      <c r="I449" s="19">
        <f>G449*I$2</f>
        <v/>
      </c>
      <c r="J449" s="19">
        <f>SUM(G449:I449)</f>
        <v/>
      </c>
      <c r="K449" s="19">
        <f>J449/8</f>
        <v/>
      </c>
      <c r="L449" t="inlineStr">
        <is>
          <t>ASWD-21</t>
        </is>
      </c>
      <c r="M449" t="inlineStr">
        <is>
          <t>F3</t>
        </is>
      </c>
      <c r="N449" t="inlineStr">
        <is>
          <t>M7</t>
        </is>
      </c>
    </row>
    <row r="450" ht="26" customHeight="1">
      <c r="A450" s="21" t="n"/>
      <c r="B450" s="20" t="n"/>
      <c r="C450" s="20" t="n"/>
      <c r="D450" s="8" t="inlineStr">
        <is>
          <t>On-screen status and error feedback</t>
        </is>
      </c>
      <c r="E450" s="18" t="n">
        <v>4</v>
      </c>
      <c r="F450" s="19">
        <f>E450*F$2</f>
        <v/>
      </c>
      <c r="G450" s="19">
        <f>SUM(E450:F450)*G$2</f>
        <v/>
      </c>
      <c r="H450" s="19">
        <f>G450*H$2</f>
        <v/>
      </c>
      <c r="I450" s="19">
        <f>G450*I$2</f>
        <v/>
      </c>
      <c r="J450" s="19">
        <f>SUM(G450:I450)</f>
        <v/>
      </c>
      <c r="K450" s="19">
        <f>J450/8</f>
        <v/>
      </c>
      <c r="L450" t="inlineStr">
        <is>
          <t>ASWD-21</t>
        </is>
      </c>
      <c r="M450" t="inlineStr">
        <is>
          <t>F3</t>
        </is>
      </c>
      <c r="N450" t="inlineStr">
        <is>
          <t>M7</t>
        </is>
      </c>
    </row>
    <row r="451" ht="26" customHeight="1">
      <c r="A451" s="21" t="n"/>
      <c r="B451" s="17" t="inlineStr">
        <is>
          <t>F4 - Send patients and configuration to the device</t>
        </is>
      </c>
      <c r="C451" s="17" t="inlineStr">
        <is>
          <t>GID-254999</t>
        </is>
      </c>
      <c r="D451" s="8" t="inlineStr">
        <is>
          <t>Settings entity and storage</t>
        </is>
      </c>
      <c r="E451" s="18" t="n">
        <v>8</v>
      </c>
      <c r="F451" s="19">
        <f>E451*F$2</f>
        <v/>
      </c>
      <c r="G451" s="19">
        <f>SUM(E451:F451)*G$2</f>
        <v/>
      </c>
      <c r="H451" s="19">
        <f>G451*H$2</f>
        <v/>
      </c>
      <c r="I451" s="19">
        <f>G451*I$2</f>
        <v/>
      </c>
      <c r="J451" s="19">
        <f>SUM(G451:I451)</f>
        <v/>
      </c>
      <c r="K451" s="19">
        <f>J451/8</f>
        <v/>
      </c>
      <c r="L451" t="inlineStr">
        <is>
          <t>ASWD-21</t>
        </is>
      </c>
      <c r="M451" t="inlineStr">
        <is>
          <t>F4</t>
        </is>
      </c>
      <c r="N451" t="inlineStr">
        <is>
          <t>M7</t>
        </is>
      </c>
    </row>
    <row r="452" ht="26" customHeight="1">
      <c r="A452" s="21" t="n"/>
      <c r="B452" s="21" t="n"/>
      <c r="C452" s="21" t="n"/>
      <c r="D452" s="8" t="inlineStr">
        <is>
          <t>Configuration screen and validation</t>
        </is>
      </c>
      <c r="E452" s="18" t="n">
        <v>8</v>
      </c>
      <c r="F452" s="19">
        <f>E452*F$2</f>
        <v/>
      </c>
      <c r="G452" s="19">
        <f>SUM(E452:F452)*G$2</f>
        <v/>
      </c>
      <c r="H452" s="19">
        <f>G452*H$2</f>
        <v/>
      </c>
      <c r="I452" s="19">
        <f>G452*I$2</f>
        <v/>
      </c>
      <c r="J452" s="19">
        <f>SUM(G452:I452)</f>
        <v/>
      </c>
      <c r="K452" s="19">
        <f>J452/8</f>
        <v/>
      </c>
      <c r="L452" t="inlineStr">
        <is>
          <t>ASWD-21</t>
        </is>
      </c>
      <c r="M452" t="inlineStr">
        <is>
          <t>F4</t>
        </is>
      </c>
      <c r="N452" t="inlineStr">
        <is>
          <t>M7</t>
        </is>
      </c>
    </row>
    <row r="453" ht="26" customHeight="1">
      <c r="A453" s="21" t="n"/>
      <c r="B453" s="21" t="n"/>
      <c r="C453" s="20" t="n"/>
      <c r="D453" s="8" t="inlineStr">
        <is>
          <t>Apply the setting everywhere it is read</t>
        </is>
      </c>
      <c r="E453" s="18" t="n">
        <v>8</v>
      </c>
      <c r="F453" s="19">
        <f>E453*F$2</f>
        <v/>
      </c>
      <c r="G453" s="19">
        <f>SUM(E453:F453)*G$2</f>
        <v/>
      </c>
      <c r="H453" s="19">
        <f>G453*H$2</f>
        <v/>
      </c>
      <c r="I453" s="19">
        <f>G453*I$2</f>
        <v/>
      </c>
      <c r="J453" s="19">
        <f>SUM(G453:I453)</f>
        <v/>
      </c>
      <c r="K453" s="19">
        <f>J453/8</f>
        <v/>
      </c>
      <c r="L453" t="inlineStr">
        <is>
          <t>ASWD-21</t>
        </is>
      </c>
      <c r="M453" t="inlineStr">
        <is>
          <t>F4</t>
        </is>
      </c>
      <c r="N453" t="inlineStr">
        <is>
          <t>M7</t>
        </is>
      </c>
    </row>
    <row r="454" ht="26" customHeight="1">
      <c r="A454" s="21" t="n"/>
      <c r="B454" s="21" t="n"/>
      <c r="C454" s="17" t="inlineStr">
        <is>
          <t>Site config (GID-255001)</t>
        </is>
      </c>
      <c r="D454" s="8" t="inlineStr">
        <is>
          <t>Transport and protocol handling</t>
        </is>
      </c>
      <c r="E454" s="18" t="n">
        <v>8</v>
      </c>
      <c r="F454" s="19">
        <f>E454*F$2</f>
        <v/>
      </c>
      <c r="G454" s="19">
        <f>SUM(E454:F454)*G$2</f>
        <v/>
      </c>
      <c r="H454" s="19">
        <f>G454*H$2</f>
        <v/>
      </c>
      <c r="I454" s="19">
        <f>G454*I$2</f>
        <v/>
      </c>
      <c r="J454" s="19">
        <f>SUM(G454:I454)</f>
        <v/>
      </c>
      <c r="K454" s="19">
        <f>J454/8</f>
        <v/>
      </c>
      <c r="L454" t="inlineStr">
        <is>
          <t>ASWD-21</t>
        </is>
      </c>
      <c r="M454" t="inlineStr">
        <is>
          <t>F4</t>
        </is>
      </c>
      <c r="N454" t="inlineStr">
        <is>
          <t>M7</t>
        </is>
      </c>
    </row>
    <row r="455" ht="26" customHeight="1">
      <c r="A455" s="21" t="n"/>
      <c r="B455" s="21" t="n"/>
      <c r="C455" s="21" t="n"/>
      <c r="D455" s="8" t="inlineStr">
        <is>
          <t>Core interfaces and adapter service</t>
        </is>
      </c>
      <c r="E455" s="18" t="n">
        <v>8</v>
      </c>
      <c r="F455" s="19">
        <f>E455*F$2</f>
        <v/>
      </c>
      <c r="G455" s="19">
        <f>SUM(E455:F455)*G$2</f>
        <v/>
      </c>
      <c r="H455" s="19">
        <f>G455*H$2</f>
        <v/>
      </c>
      <c r="I455" s="19">
        <f>G455*I$2</f>
        <v/>
      </c>
      <c r="J455" s="19">
        <f>SUM(G455:I455)</f>
        <v/>
      </c>
      <c r="K455" s="19">
        <f>J455/8</f>
        <v/>
      </c>
      <c r="L455" t="inlineStr">
        <is>
          <t>ASWD-21</t>
        </is>
      </c>
      <c r="M455" t="inlineStr">
        <is>
          <t>F4</t>
        </is>
      </c>
      <c r="N455" t="inlineStr">
        <is>
          <t>M7</t>
        </is>
      </c>
    </row>
    <row r="456" ht="26" customHeight="1">
      <c r="A456" s="21" t="n"/>
      <c r="B456" s="21" t="n"/>
      <c r="C456" s="20" t="n"/>
      <c r="D456" s="8" t="inlineStr">
        <is>
          <t>On-screen status and error feedback</t>
        </is>
      </c>
      <c r="E456" s="18" t="n">
        <v>8</v>
      </c>
      <c r="F456" s="19">
        <f>E456*F$2</f>
        <v/>
      </c>
      <c r="G456" s="19">
        <f>SUM(E456:F456)*G$2</f>
        <v/>
      </c>
      <c r="H456" s="19">
        <f>G456*H$2</f>
        <v/>
      </c>
      <c r="I456" s="19">
        <f>G456*I$2</f>
        <v/>
      </c>
      <c r="J456" s="19">
        <f>SUM(G456:I456)</f>
        <v/>
      </c>
      <c r="K456" s="19">
        <f>J456/8</f>
        <v/>
      </c>
      <c r="L456" t="inlineStr">
        <is>
          <t>ASWD-21</t>
        </is>
      </c>
      <c r="M456" t="inlineStr">
        <is>
          <t>F4</t>
        </is>
      </c>
      <c r="N456" t="inlineStr">
        <is>
          <t>M7</t>
        </is>
      </c>
    </row>
    <row r="457" ht="26" customHeight="1">
      <c r="A457" s="21" t="n"/>
      <c r="B457" s="21" t="n"/>
      <c r="C457" s="17" t="inlineStr">
        <is>
          <t>Facility config (GID-255002)</t>
        </is>
      </c>
      <c r="D457" s="8" t="inlineStr">
        <is>
          <t>Transport and protocol handling</t>
        </is>
      </c>
      <c r="E457" s="18" t="n">
        <v>2</v>
      </c>
      <c r="F457" s="19">
        <f>E457*F$2</f>
        <v/>
      </c>
      <c r="G457" s="19">
        <f>SUM(E457:F457)*G$2</f>
        <v/>
      </c>
      <c r="H457" s="19">
        <f>G457*H$2</f>
        <v/>
      </c>
      <c r="I457" s="19">
        <f>G457*I$2</f>
        <v/>
      </c>
      <c r="J457" s="19">
        <f>SUM(G457:I457)</f>
        <v/>
      </c>
      <c r="K457" s="19">
        <f>J457/8</f>
        <v/>
      </c>
      <c r="L457" t="inlineStr">
        <is>
          <t>ASWD-21</t>
        </is>
      </c>
      <c r="M457" t="inlineStr">
        <is>
          <t>F4</t>
        </is>
      </c>
      <c r="N457" t="inlineStr">
        <is>
          <t>M7</t>
        </is>
      </c>
    </row>
    <row r="458" ht="26" customHeight="1">
      <c r="A458" s="21" t="n"/>
      <c r="B458" s="21" t="n"/>
      <c r="C458" s="21" t="n"/>
      <c r="D458" s="8" t="inlineStr">
        <is>
          <t>Core interfaces and adapter service</t>
        </is>
      </c>
      <c r="E458" s="18" t="n">
        <v>2</v>
      </c>
      <c r="F458" s="19">
        <f>E458*F$2</f>
        <v/>
      </c>
      <c r="G458" s="19">
        <f>SUM(E458:F458)*G$2</f>
        <v/>
      </c>
      <c r="H458" s="19">
        <f>G458*H$2</f>
        <v/>
      </c>
      <c r="I458" s="19">
        <f>G458*I$2</f>
        <v/>
      </c>
      <c r="J458" s="19">
        <f>SUM(G458:I458)</f>
        <v/>
      </c>
      <c r="K458" s="19">
        <f>J458/8</f>
        <v/>
      </c>
      <c r="L458" t="inlineStr">
        <is>
          <t>ASWD-21</t>
        </is>
      </c>
      <c r="M458" t="inlineStr">
        <is>
          <t>F4</t>
        </is>
      </c>
      <c r="N458" t="inlineStr">
        <is>
          <t>M7</t>
        </is>
      </c>
    </row>
    <row r="459" ht="26" customHeight="1">
      <c r="A459" s="21" t="n"/>
      <c r="B459" s="21" t="n"/>
      <c r="C459" s="20" t="n"/>
      <c r="D459" s="8" t="inlineStr">
        <is>
          <t>On-screen status and error feedback</t>
        </is>
      </c>
      <c r="E459" s="18" t="n">
        <v>4</v>
      </c>
      <c r="F459" s="19">
        <f>E459*F$2</f>
        <v/>
      </c>
      <c r="G459" s="19">
        <f>SUM(E459:F459)*G$2</f>
        <v/>
      </c>
      <c r="H459" s="19">
        <f>G459*H$2</f>
        <v/>
      </c>
      <c r="I459" s="19">
        <f>G459*I$2</f>
        <v/>
      </c>
      <c r="J459" s="19">
        <f>SUM(G459:I459)</f>
        <v/>
      </c>
      <c r="K459" s="19">
        <f>J459/8</f>
        <v/>
      </c>
      <c r="L459" t="inlineStr">
        <is>
          <t>ASWD-21</t>
        </is>
      </c>
      <c r="M459" t="inlineStr">
        <is>
          <t>F4</t>
        </is>
      </c>
      <c r="N459" t="inlineStr">
        <is>
          <t>M7</t>
        </is>
      </c>
    </row>
    <row r="460" ht="26" customHeight="1">
      <c r="A460" s="21" t="n"/>
      <c r="B460" s="21" t="n"/>
      <c r="C460" s="17" t="inlineStr">
        <is>
          <t>ABR protocols (GID-255003)</t>
        </is>
      </c>
      <c r="D460" s="8" t="inlineStr">
        <is>
          <t>Transport and protocol handling</t>
        </is>
      </c>
      <c r="E460" s="18" t="n">
        <v>2</v>
      </c>
      <c r="F460" s="19">
        <f>E460*F$2</f>
        <v/>
      </c>
      <c r="G460" s="19">
        <f>SUM(E460:F460)*G$2</f>
        <v/>
      </c>
      <c r="H460" s="19">
        <f>G460*H$2</f>
        <v/>
      </c>
      <c r="I460" s="19">
        <f>G460*I$2</f>
        <v/>
      </c>
      <c r="J460" s="19">
        <f>SUM(G460:I460)</f>
        <v/>
      </c>
      <c r="K460" s="19">
        <f>J460/8</f>
        <v/>
      </c>
      <c r="L460" t="inlineStr">
        <is>
          <t>ASWD-21</t>
        </is>
      </c>
      <c r="M460" t="inlineStr">
        <is>
          <t>F4</t>
        </is>
      </c>
      <c r="N460" t="inlineStr">
        <is>
          <t>M7</t>
        </is>
      </c>
    </row>
    <row r="461" ht="26" customHeight="1">
      <c r="A461" s="21" t="n"/>
      <c r="B461" s="21" t="n"/>
      <c r="C461" s="21" t="n"/>
      <c r="D461" s="8" t="inlineStr">
        <is>
          <t>Core interfaces and adapter service</t>
        </is>
      </c>
      <c r="E461" s="18" t="n">
        <v>2</v>
      </c>
      <c r="F461" s="19">
        <f>E461*F$2</f>
        <v/>
      </c>
      <c r="G461" s="19">
        <f>SUM(E461:F461)*G$2</f>
        <v/>
      </c>
      <c r="H461" s="19">
        <f>G461*H$2</f>
        <v/>
      </c>
      <c r="I461" s="19">
        <f>G461*I$2</f>
        <v/>
      </c>
      <c r="J461" s="19">
        <f>SUM(G461:I461)</f>
        <v/>
      </c>
      <c r="K461" s="19">
        <f>J461/8</f>
        <v/>
      </c>
      <c r="L461" t="inlineStr">
        <is>
          <t>ASWD-21</t>
        </is>
      </c>
      <c r="M461" t="inlineStr">
        <is>
          <t>F4</t>
        </is>
      </c>
      <c r="N461" t="inlineStr">
        <is>
          <t>M7</t>
        </is>
      </c>
    </row>
    <row r="462" ht="26" customHeight="1">
      <c r="A462" s="21" t="n"/>
      <c r="B462" s="21" t="n"/>
      <c r="C462" s="20" t="n"/>
      <c r="D462" s="8" t="inlineStr">
        <is>
          <t>On-screen status and error feedback</t>
        </is>
      </c>
      <c r="E462" s="18" t="n">
        <v>4</v>
      </c>
      <c r="F462" s="19">
        <f>E462*F$2</f>
        <v/>
      </c>
      <c r="G462" s="19">
        <f>SUM(E462:F462)*G$2</f>
        <v/>
      </c>
      <c r="H462" s="19">
        <f>G462*H$2</f>
        <v/>
      </c>
      <c r="I462" s="19">
        <f>G462*I$2</f>
        <v/>
      </c>
      <c r="J462" s="19">
        <f>SUM(G462:I462)</f>
        <v/>
      </c>
      <c r="K462" s="19">
        <f>J462/8</f>
        <v/>
      </c>
      <c r="L462" t="inlineStr">
        <is>
          <t>ASWD-21</t>
        </is>
      </c>
      <c r="M462" t="inlineStr">
        <is>
          <t>F4</t>
        </is>
      </c>
      <c r="N462" t="inlineStr">
        <is>
          <t>M7</t>
        </is>
      </c>
    </row>
    <row r="463" ht="26" customHeight="1">
      <c r="A463" s="21" t="n"/>
      <c r="B463" s="21" t="n"/>
      <c r="C463" s="17" t="inlineStr">
        <is>
          <t>DPOAE protocols (GID-255004)</t>
        </is>
      </c>
      <c r="D463" s="8" t="inlineStr">
        <is>
          <t>Transport and protocol handling</t>
        </is>
      </c>
      <c r="E463" s="18" t="n">
        <v>2</v>
      </c>
      <c r="F463" s="19">
        <f>E463*F$2</f>
        <v/>
      </c>
      <c r="G463" s="19">
        <f>SUM(E463:F463)*G$2</f>
        <v/>
      </c>
      <c r="H463" s="19">
        <f>G463*H$2</f>
        <v/>
      </c>
      <c r="I463" s="19">
        <f>G463*I$2</f>
        <v/>
      </c>
      <c r="J463" s="19">
        <f>SUM(G463:I463)</f>
        <v/>
      </c>
      <c r="K463" s="19">
        <f>J463/8</f>
        <v/>
      </c>
      <c r="L463" t="inlineStr">
        <is>
          <t>ASWD-21</t>
        </is>
      </c>
      <c r="M463" t="inlineStr">
        <is>
          <t>F4</t>
        </is>
      </c>
      <c r="N463" t="inlineStr">
        <is>
          <t>M7</t>
        </is>
      </c>
    </row>
    <row r="464" ht="26" customHeight="1">
      <c r="A464" s="21" t="n"/>
      <c r="B464" s="21" t="n"/>
      <c r="C464" s="21" t="n"/>
      <c r="D464" s="8" t="inlineStr">
        <is>
          <t>Core interfaces and adapter service</t>
        </is>
      </c>
      <c r="E464" s="18" t="n">
        <v>2</v>
      </c>
      <c r="F464" s="19">
        <f>E464*F$2</f>
        <v/>
      </c>
      <c r="G464" s="19">
        <f>SUM(E464:F464)*G$2</f>
        <v/>
      </c>
      <c r="H464" s="19">
        <f>G464*H$2</f>
        <v/>
      </c>
      <c r="I464" s="19">
        <f>G464*I$2</f>
        <v/>
      </c>
      <c r="J464" s="19">
        <f>SUM(G464:I464)</f>
        <v/>
      </c>
      <c r="K464" s="19">
        <f>J464/8</f>
        <v/>
      </c>
      <c r="L464" t="inlineStr">
        <is>
          <t>ASWD-21</t>
        </is>
      </c>
      <c r="M464" t="inlineStr">
        <is>
          <t>F4</t>
        </is>
      </c>
      <c r="N464" t="inlineStr">
        <is>
          <t>M7</t>
        </is>
      </c>
    </row>
    <row r="465" ht="26" customHeight="1">
      <c r="A465" s="21" t="n"/>
      <c r="B465" s="20" t="n"/>
      <c r="C465" s="20" t="n"/>
      <c r="D465" s="8" t="inlineStr">
        <is>
          <t>On-screen status and error feedback</t>
        </is>
      </c>
      <c r="E465" s="18" t="n">
        <v>4</v>
      </c>
      <c r="F465" s="19">
        <f>E465*F$2</f>
        <v/>
      </c>
      <c r="G465" s="19">
        <f>SUM(E465:F465)*G$2</f>
        <v/>
      </c>
      <c r="H465" s="19">
        <f>G465*H$2</f>
        <v/>
      </c>
      <c r="I465" s="19">
        <f>G465*I$2</f>
        <v/>
      </c>
      <c r="J465" s="19">
        <f>SUM(G465:I465)</f>
        <v/>
      </c>
      <c r="K465" s="19">
        <f>J465/8</f>
        <v/>
      </c>
      <c r="L465" t="inlineStr">
        <is>
          <t>ASWD-21</t>
        </is>
      </c>
      <c r="M465" t="inlineStr">
        <is>
          <t>F4</t>
        </is>
      </c>
      <c r="N465" t="inlineStr">
        <is>
          <t>M7</t>
        </is>
      </c>
    </row>
    <row r="466" ht="26" customHeight="1">
      <c r="A466" s="21" t="n"/>
      <c r="B466" s="17" t="inlineStr">
        <is>
          <t>F5 - Send firmware to the device with warnings and progress ⚠ *SRS §5.31, no Jira epic</t>
        </is>
      </c>
      <c r="C466" s="17" t="inlineStr">
        <is>
          <t>Send firmware to the device (GID-255005)</t>
        </is>
      </c>
      <c r="D466" s="8" t="inlineStr">
        <is>
          <t>Transport and protocol handling</t>
        </is>
      </c>
      <c r="E466" s="18" t="n">
        <v>8</v>
      </c>
      <c r="F466" s="19">
        <f>E466*F$2</f>
        <v/>
      </c>
      <c r="G466" s="19">
        <f>SUM(E466:F466)*G$2</f>
        <v/>
      </c>
      <c r="H466" s="19">
        <f>G466*H$2</f>
        <v/>
      </c>
      <c r="I466" s="19">
        <f>G466*I$2</f>
        <v/>
      </c>
      <c r="J466" s="19">
        <f>SUM(G466:I466)</f>
        <v/>
      </c>
      <c r="K466" s="19">
        <f>J466/8</f>
        <v/>
      </c>
      <c r="L466" t="inlineStr">
        <is>
          <t>ASWD-21</t>
        </is>
      </c>
      <c r="M466" t="inlineStr">
        <is>
          <t>F5</t>
        </is>
      </c>
      <c r="N466" t="inlineStr">
        <is>
          <t>M7</t>
        </is>
      </c>
    </row>
    <row r="467" ht="26" customHeight="1">
      <c r="A467" s="21" t="n"/>
      <c r="B467" s="21" t="n"/>
      <c r="C467" s="21" t="n"/>
      <c r="D467" s="8" t="inlineStr">
        <is>
          <t>Core interfaces and adapter service</t>
        </is>
      </c>
      <c r="E467" s="18" t="n">
        <v>8</v>
      </c>
      <c r="F467" s="19">
        <f>E467*F$2</f>
        <v/>
      </c>
      <c r="G467" s="19">
        <f>SUM(E467:F467)*G$2</f>
        <v/>
      </c>
      <c r="H467" s="19">
        <f>G467*H$2</f>
        <v/>
      </c>
      <c r="I467" s="19">
        <f>G467*I$2</f>
        <v/>
      </c>
      <c r="J467" s="19">
        <f>SUM(G467:I467)</f>
        <v/>
      </c>
      <c r="K467" s="19">
        <f>J467/8</f>
        <v/>
      </c>
      <c r="L467" t="inlineStr">
        <is>
          <t>ASWD-21</t>
        </is>
      </c>
      <c r="M467" t="inlineStr">
        <is>
          <t>F5</t>
        </is>
      </c>
      <c r="N467" t="inlineStr">
        <is>
          <t>M7</t>
        </is>
      </c>
    </row>
    <row r="468" ht="26" customHeight="1">
      <c r="A468" s="21" t="n"/>
      <c r="B468" s="21" t="n"/>
      <c r="C468" s="20" t="n"/>
      <c r="D468" s="8" t="inlineStr">
        <is>
          <t>On-screen status and error feedback</t>
        </is>
      </c>
      <c r="E468" s="18" t="n">
        <v>8</v>
      </c>
      <c r="F468" s="19">
        <f>E468*F$2</f>
        <v/>
      </c>
      <c r="G468" s="19">
        <f>SUM(E468:F468)*G$2</f>
        <v/>
      </c>
      <c r="H468" s="19">
        <f>G468*H$2</f>
        <v/>
      </c>
      <c r="I468" s="19">
        <f>G468*I$2</f>
        <v/>
      </c>
      <c r="J468" s="19">
        <f>SUM(G468:I468)</f>
        <v/>
      </c>
      <c r="K468" s="19">
        <f>J468/8</f>
        <v/>
      </c>
      <c r="L468" t="inlineStr">
        <is>
          <t>ASWD-21</t>
        </is>
      </c>
      <c r="M468" t="inlineStr">
        <is>
          <t>F5</t>
        </is>
      </c>
      <c r="N468" t="inlineStr">
        <is>
          <t>M7</t>
        </is>
      </c>
    </row>
    <row r="469" ht="26" customHeight="1">
      <c r="A469" s="21" t="n"/>
      <c r="B469" s="21" t="n"/>
      <c r="C469" s="17" t="inlineStr">
        <is>
          <t>Show warnings and progress before and during (GID-255011)</t>
        </is>
      </c>
      <c r="D469" s="8" t="inlineStr">
        <is>
          <t>Transport and protocol handling</t>
        </is>
      </c>
      <c r="E469" s="18" t="n">
        <v>2</v>
      </c>
      <c r="F469" s="19">
        <f>E469*F$2</f>
        <v/>
      </c>
      <c r="G469" s="19">
        <f>SUM(E469:F469)*G$2</f>
        <v/>
      </c>
      <c r="H469" s="19">
        <f>G469*H$2</f>
        <v/>
      </c>
      <c r="I469" s="19">
        <f>G469*I$2</f>
        <v/>
      </c>
      <c r="J469" s="19">
        <f>SUM(G469:I469)</f>
        <v/>
      </c>
      <c r="K469" s="19">
        <f>J469/8</f>
        <v/>
      </c>
      <c r="L469" t="inlineStr">
        <is>
          <t>ASWD-21</t>
        </is>
      </c>
      <c r="M469" t="inlineStr">
        <is>
          <t>F5</t>
        </is>
      </c>
      <c r="N469" t="inlineStr">
        <is>
          <t>M7</t>
        </is>
      </c>
    </row>
    <row r="470" ht="26" customHeight="1">
      <c r="A470" s="21" t="n"/>
      <c r="B470" s="21" t="n"/>
      <c r="C470" s="21" t="n"/>
      <c r="D470" s="8" t="inlineStr">
        <is>
          <t>Core interfaces and adapter service</t>
        </is>
      </c>
      <c r="E470" s="18" t="n">
        <v>2</v>
      </c>
      <c r="F470" s="19">
        <f>E470*F$2</f>
        <v/>
      </c>
      <c r="G470" s="19">
        <f>SUM(E470:F470)*G$2</f>
        <v/>
      </c>
      <c r="H470" s="19">
        <f>G470*H$2</f>
        <v/>
      </c>
      <c r="I470" s="19">
        <f>G470*I$2</f>
        <v/>
      </c>
      <c r="J470" s="19">
        <f>SUM(G470:I470)</f>
        <v/>
      </c>
      <c r="K470" s="19">
        <f>J470/8</f>
        <v/>
      </c>
      <c r="L470" t="inlineStr">
        <is>
          <t>ASWD-21</t>
        </is>
      </c>
      <c r="M470" t="inlineStr">
        <is>
          <t>F5</t>
        </is>
      </c>
      <c r="N470" t="inlineStr">
        <is>
          <t>M7</t>
        </is>
      </c>
    </row>
    <row r="471" ht="26" customHeight="1">
      <c r="A471" s="20" t="n"/>
      <c r="B471" s="20" t="n"/>
      <c r="C471" s="20" t="n"/>
      <c r="D471" s="8" t="inlineStr">
        <is>
          <t>On-screen status and error feedback</t>
        </is>
      </c>
      <c r="E471" s="18" t="n">
        <v>4</v>
      </c>
      <c r="F471" s="19">
        <f>E471*F$2</f>
        <v/>
      </c>
      <c r="G471" s="19">
        <f>SUM(E471:F471)*G$2</f>
        <v/>
      </c>
      <c r="H471" s="19">
        <f>G471*H$2</f>
        <v/>
      </c>
      <c r="I471" s="19">
        <f>G471*I$2</f>
        <v/>
      </c>
      <c r="J471" s="19">
        <f>SUM(G471:I471)</f>
        <v/>
      </c>
      <c r="K471" s="19">
        <f>J471/8</f>
        <v/>
      </c>
      <c r="L471" t="inlineStr">
        <is>
          <t>ASWD-21</t>
        </is>
      </c>
      <c r="M471" t="inlineStr">
        <is>
          <t>F5</t>
        </is>
      </c>
      <c r="N471" t="inlineStr">
        <is>
          <t>M7</t>
        </is>
      </c>
    </row>
    <row r="472" ht="26" customHeight="1">
      <c r="A472" s="16" t="inlineStr">
        <is>
          <t>ASWD-24</t>
        </is>
      </c>
      <c r="B472" s="17" t="inlineStr">
        <is>
          <t>F1 - Show progress for slow operations and log the user out after inactivity</t>
        </is>
      </c>
      <c r="C472" s="17" t="inlineStr">
        <is>
          <t>Shared progress indicator for slow operations: printing, transfers, firmware (GID-255013)</t>
        </is>
      </c>
      <c r="D472" s="8" t="inlineStr">
        <is>
          <t>Transport and protocol handling</t>
        </is>
      </c>
      <c r="E472" s="18" t="n">
        <v>8</v>
      </c>
      <c r="F472" s="19">
        <f>E472*F$2</f>
        <v/>
      </c>
      <c r="G472" s="19">
        <f>SUM(E472:F472)*G$2</f>
        <v/>
      </c>
      <c r="H472" s="19">
        <f>G472*H$2</f>
        <v/>
      </c>
      <c r="I472" s="19">
        <f>G472*I$2</f>
        <v/>
      </c>
      <c r="J472" s="19">
        <f>SUM(G472:I472)</f>
        <v/>
      </c>
      <c r="K472" s="19">
        <f>J472/8</f>
        <v/>
      </c>
      <c r="L472" t="inlineStr">
        <is>
          <t>ASWD-24</t>
        </is>
      </c>
      <c r="M472" t="inlineStr">
        <is>
          <t>F1</t>
        </is>
      </c>
      <c r="N472" t="inlineStr">
        <is>
          <t>M8</t>
        </is>
      </c>
    </row>
    <row r="473" ht="26" customHeight="1">
      <c r="A473" s="21" t="n"/>
      <c r="B473" s="21" t="n"/>
      <c r="C473" s="21" t="n"/>
      <c r="D473" s="8" t="inlineStr">
        <is>
          <t>Core interfaces and adapter service</t>
        </is>
      </c>
      <c r="E473" s="18" t="n">
        <v>8</v>
      </c>
      <c r="F473" s="19">
        <f>E473*F$2</f>
        <v/>
      </c>
      <c r="G473" s="19">
        <f>SUM(E473:F473)*G$2</f>
        <v/>
      </c>
      <c r="H473" s="19">
        <f>G473*H$2</f>
        <v/>
      </c>
      <c r="I473" s="19">
        <f>G473*I$2</f>
        <v/>
      </c>
      <c r="J473" s="19">
        <f>SUM(G473:I473)</f>
        <v/>
      </c>
      <c r="K473" s="19">
        <f>J473/8</f>
        <v/>
      </c>
      <c r="L473" t="inlineStr">
        <is>
          <t>ASWD-24</t>
        </is>
      </c>
      <c r="M473" t="inlineStr">
        <is>
          <t>F1</t>
        </is>
      </c>
      <c r="N473" t="inlineStr">
        <is>
          <t>M8</t>
        </is>
      </c>
    </row>
    <row r="474" ht="26" customHeight="1">
      <c r="A474" s="21" t="n"/>
      <c r="B474" s="21" t="n"/>
      <c r="C474" s="20" t="n"/>
      <c r="D474" s="8" t="inlineStr">
        <is>
          <t>On-screen status and error feedback</t>
        </is>
      </c>
      <c r="E474" s="18" t="n">
        <v>7</v>
      </c>
      <c r="F474" s="19">
        <f>E474*F$2</f>
        <v/>
      </c>
      <c r="G474" s="19">
        <f>SUM(E474:F474)*G$2</f>
        <v/>
      </c>
      <c r="H474" s="19">
        <f>G474*H$2</f>
        <v/>
      </c>
      <c r="I474" s="19">
        <f>G474*I$2</f>
        <v/>
      </c>
      <c r="J474" s="19">
        <f>SUM(G474:I474)</f>
        <v/>
      </c>
      <c r="K474" s="19">
        <f>J474/8</f>
        <v/>
      </c>
      <c r="L474" t="inlineStr">
        <is>
          <t>ASWD-24</t>
        </is>
      </c>
      <c r="M474" t="inlineStr">
        <is>
          <t>F1</t>
        </is>
      </c>
      <c r="N474" t="inlineStr">
        <is>
          <t>M8</t>
        </is>
      </c>
    </row>
    <row r="475" ht="26" customHeight="1">
      <c r="A475" s="21" t="n"/>
      <c r="B475" s="21" t="n"/>
      <c r="C475" s="17" t="inlineStr">
        <is>
          <t>Auto-logout after inactivity, with a warning first (GID-255014)</t>
        </is>
      </c>
      <c r="D475" s="8" t="inlineStr">
        <is>
          <t>Core model and service</t>
        </is>
      </c>
      <c r="E475" s="18" t="n">
        <v>8</v>
      </c>
      <c r="F475" s="19">
        <f>E475*F$2</f>
        <v/>
      </c>
      <c r="G475" s="19">
        <f>SUM(E475:F475)*G$2</f>
        <v/>
      </c>
      <c r="H475" s="19">
        <f>G475*H$2</f>
        <v/>
      </c>
      <c r="I475" s="19">
        <f>G475*I$2</f>
        <v/>
      </c>
      <c r="J475" s="19">
        <f>SUM(G475:I475)</f>
        <v/>
      </c>
      <c r="K475" s="19">
        <f>J475/8</f>
        <v/>
      </c>
      <c r="L475" t="inlineStr">
        <is>
          <t>ASWD-24</t>
        </is>
      </c>
      <c r="M475" t="inlineStr">
        <is>
          <t>F1</t>
        </is>
      </c>
      <c r="N475" t="inlineStr">
        <is>
          <t>M8</t>
        </is>
      </c>
    </row>
    <row r="476" ht="26" customHeight="1">
      <c r="A476" s="21" t="n"/>
      <c r="B476" s="21" t="n"/>
      <c r="C476" s="21" t="n"/>
      <c r="D476" s="8" t="inlineStr">
        <is>
          <t>ViewModel, DTO and converters</t>
        </is>
      </c>
      <c r="E476" s="18" t="n">
        <v>8</v>
      </c>
      <c r="F476" s="19">
        <f>E476*F$2</f>
        <v/>
      </c>
      <c r="G476" s="19">
        <f>SUM(E476:F476)*G$2</f>
        <v/>
      </c>
      <c r="H476" s="19">
        <f>G476*H$2</f>
        <v/>
      </c>
      <c r="I476" s="19">
        <f>G476*I$2</f>
        <v/>
      </c>
      <c r="J476" s="19">
        <f>SUM(G476:I476)</f>
        <v/>
      </c>
      <c r="K476" s="19">
        <f>J476/8</f>
        <v/>
      </c>
      <c r="L476" t="inlineStr">
        <is>
          <t>ASWD-24</t>
        </is>
      </c>
      <c r="M476" t="inlineStr">
        <is>
          <t>F1</t>
        </is>
      </c>
      <c r="N476" t="inlineStr">
        <is>
          <t>M8</t>
        </is>
      </c>
    </row>
    <row r="477" ht="26" customHeight="1">
      <c r="A477" s="20" t="n"/>
      <c r="B477" s="20" t="n"/>
      <c r="C477" s="20" t="n"/>
      <c r="D477" s="8" t="inlineStr">
        <is>
          <t>Screen (XAML) and command wiring</t>
        </is>
      </c>
      <c r="E477" s="18" t="n">
        <v>8</v>
      </c>
      <c r="F477" s="19">
        <f>E477*F$2</f>
        <v/>
      </c>
      <c r="G477" s="19">
        <f>SUM(E477:F477)*G$2</f>
        <v/>
      </c>
      <c r="H477" s="19">
        <f>G477*H$2</f>
        <v/>
      </c>
      <c r="I477" s="19">
        <f>G477*I$2</f>
        <v/>
      </c>
      <c r="J477" s="19">
        <f>SUM(G477:I477)</f>
        <v/>
      </c>
      <c r="K477" s="19">
        <f>J477/8</f>
        <v/>
      </c>
      <c r="L477" t="inlineStr">
        <is>
          <t>ASWD-24</t>
        </is>
      </c>
      <c r="M477" t="inlineStr">
        <is>
          <t>F1</t>
        </is>
      </c>
      <c r="N477" t="inlineStr">
        <is>
          <t>M8</t>
        </is>
      </c>
    </row>
    <row r="478" ht="26" customHeight="1">
      <c r="A478" s="16" t="inlineStr">
        <is>
          <t>ASWD-31</t>
        </is>
      </c>
      <c r="B478" s="17" t="inlineStr">
        <is>
          <t>F1 - Roll, retain and protect the log files</t>
        </is>
      </c>
      <c r="C478" s="17" t="inlineStr">
        <is>
          <t>Roll daily and at 5 MB, keep 366 days, delete oldest first, file name accusync_log_{count}_{date:yyyy-MM-dd_HH-mm-ss}.log (GID-255035)</t>
        </is>
      </c>
      <c r="D478" s="8" t="inlineStr">
        <is>
          <t>Roll daily and at 5 MB, keep 366 days, delete oldest first, file name accusync_log_{count}_{date:yyyy-MM-dd_HH-mm-ss}.log (GID-255035)</t>
        </is>
      </c>
      <c r="E478" s="18" t="n">
        <v>6</v>
      </c>
      <c r="F478" s="19">
        <f>E478*F$2</f>
        <v/>
      </c>
      <c r="G478" s="19">
        <f>SUM(E478:F478)*G$2</f>
        <v/>
      </c>
      <c r="H478" s="19">
        <f>G478*H$2</f>
        <v/>
      </c>
      <c r="I478" s="19">
        <f>G478*I$2</f>
        <v/>
      </c>
      <c r="J478" s="19">
        <f>SUM(G478:I478)</f>
        <v/>
      </c>
      <c r="K478" s="19">
        <f>J478/8</f>
        <v/>
      </c>
      <c r="L478" t="inlineStr">
        <is>
          <t>ASWD-31</t>
        </is>
      </c>
      <c r="M478" t="inlineStr">
        <is>
          <t>F1</t>
        </is>
      </c>
      <c r="N478" t="inlineStr">
        <is>
          <t>M8</t>
        </is>
      </c>
    </row>
    <row r="479" ht="26" customHeight="1">
      <c r="A479" s="21" t="n"/>
      <c r="B479" s="21" t="n"/>
      <c r="C479" s="17" t="inlineStr">
        <is>
          <t>Restrict read access to the log folder (GID-255036)</t>
        </is>
      </c>
      <c r="D479" s="8" t="inlineStr">
        <is>
          <t>Restrict read access to the log folder (GID-255036)</t>
        </is>
      </c>
      <c r="E479" s="18" t="n">
        <v>6</v>
      </c>
      <c r="F479" s="19">
        <f>E479*F$2</f>
        <v/>
      </c>
      <c r="G479" s="19">
        <f>SUM(E479:F479)*G$2</f>
        <v/>
      </c>
      <c r="H479" s="19">
        <f>G479*H$2</f>
        <v/>
      </c>
      <c r="I479" s="19">
        <f>G479*I$2</f>
        <v/>
      </c>
      <c r="J479" s="19">
        <f>SUM(G479:I479)</f>
        <v/>
      </c>
      <c r="K479" s="19">
        <f>J479/8</f>
        <v/>
      </c>
      <c r="L479" t="inlineStr">
        <is>
          <t>ASWD-31</t>
        </is>
      </c>
      <c r="M479" t="inlineStr">
        <is>
          <t>F1</t>
        </is>
      </c>
      <c r="N479" t="inlineStr">
        <is>
          <t>M8</t>
        </is>
      </c>
    </row>
    <row r="480" ht="26" customHeight="1">
      <c r="A480" s="20" t="n"/>
      <c r="B480" s="20" t="n"/>
      <c r="C480" s="17" t="inlineStr">
        <is>
          <t>Provide no user function to delete or modify a log file (GID-255037 as reworded)</t>
        </is>
      </c>
      <c r="D480" s="8" t="inlineStr">
        <is>
          <t>Provide no user function to delete or modify a log file (GID-255037 as reworded)</t>
        </is>
      </c>
      <c r="E480" s="18" t="n">
        <v>5</v>
      </c>
      <c r="F480" s="19">
        <f>E480*F$2</f>
        <v/>
      </c>
      <c r="G480" s="19">
        <f>SUM(E480:F480)*G$2</f>
        <v/>
      </c>
      <c r="H480" s="19">
        <f>G480*H$2</f>
        <v/>
      </c>
      <c r="I480" s="19">
        <f>G480*I$2</f>
        <v/>
      </c>
      <c r="J480" s="19">
        <f>SUM(G480:I480)</f>
        <v/>
      </c>
      <c r="K480" s="19">
        <f>J480/8</f>
        <v/>
      </c>
      <c r="L480" t="inlineStr">
        <is>
          <t>ASWD-31</t>
        </is>
      </c>
      <c r="M480" t="inlineStr">
        <is>
          <t>F1</t>
        </is>
      </c>
      <c r="N480" t="inlineStr">
        <is>
          <t>M8</t>
        </is>
      </c>
    </row>
    <row r="481" ht="26" customHeight="1">
      <c r="A481" s="16" t="inlineStr">
        <is>
          <t>ASWD-25</t>
        </is>
      </c>
      <c r="B481" s="17" t="inlineStr">
        <is>
          <t>F1 - Create the audit table and keep records for at least a year</t>
        </is>
      </c>
      <c r="C481" s="17" t="inlineStr">
        <is>
          <t>Audit table and writer with the 5 required fields: user ID, timestamp, description, device serial, status (GID-255027)</t>
        </is>
      </c>
      <c r="D481" s="8" t="inlineStr">
        <is>
          <t>Audit entity and EF Core configuration</t>
        </is>
      </c>
      <c r="E481" s="18" t="n">
        <v>8</v>
      </c>
      <c r="F481" s="19">
        <f>E481*F$2</f>
        <v/>
      </c>
      <c r="G481" s="19">
        <f>SUM(E481:F481)*G$2</f>
        <v/>
      </c>
      <c r="H481" s="19">
        <f>G481*H$2</f>
        <v/>
      </c>
      <c r="I481" s="19">
        <f>G481*I$2</f>
        <v/>
      </c>
      <c r="J481" s="19">
        <f>SUM(G481:I481)</f>
        <v/>
      </c>
      <c r="K481" s="19">
        <f>J481/8</f>
        <v/>
      </c>
      <c r="L481" t="inlineStr">
        <is>
          <t>ASWD-25</t>
        </is>
      </c>
      <c r="M481" t="inlineStr">
        <is>
          <t>F1</t>
        </is>
      </c>
      <c r="N481" t="inlineStr">
        <is>
          <t>M8</t>
        </is>
      </c>
    </row>
    <row r="482" ht="26" customHeight="1">
      <c r="A482" s="21" t="n"/>
      <c r="B482" s="21" t="n"/>
      <c r="C482" s="21" t="n"/>
      <c r="D482" s="8" t="inlineStr">
        <is>
          <t>Migration and DbContext wiring</t>
        </is>
      </c>
      <c r="E482" s="18" t="n">
        <v>6</v>
      </c>
      <c r="F482" s="19">
        <f>E482*F$2</f>
        <v/>
      </c>
      <c r="G482" s="19">
        <f>SUM(E482:F482)*G$2</f>
        <v/>
      </c>
      <c r="H482" s="19">
        <f>G482*H$2</f>
        <v/>
      </c>
      <c r="I482" s="19">
        <f>G482*I$2</f>
        <v/>
      </c>
      <c r="J482" s="19">
        <f>SUM(G482:I482)</f>
        <v/>
      </c>
      <c r="K482" s="19">
        <f>J482/8</f>
        <v/>
      </c>
      <c r="L482" t="inlineStr">
        <is>
          <t>ASWD-25</t>
        </is>
      </c>
      <c r="M482" t="inlineStr">
        <is>
          <t>F1</t>
        </is>
      </c>
      <c r="N482" t="inlineStr">
        <is>
          <t>M8</t>
        </is>
      </c>
    </row>
    <row r="483" ht="26" customHeight="1">
      <c r="A483" s="21" t="n"/>
      <c r="B483" s="21" t="n"/>
      <c r="C483" s="20" t="n"/>
      <c r="D483" s="8" t="inlineStr">
        <is>
          <t>Repository and service methods</t>
        </is>
      </c>
      <c r="E483" s="18" t="n">
        <v>8</v>
      </c>
      <c r="F483" s="19">
        <f>E483*F$2</f>
        <v/>
      </c>
      <c r="G483" s="19">
        <f>SUM(E483:F483)*G$2</f>
        <v/>
      </c>
      <c r="H483" s="19">
        <f>G483*H$2</f>
        <v/>
      </c>
      <c r="I483" s="19">
        <f>G483*I$2</f>
        <v/>
      </c>
      <c r="J483" s="19">
        <f>SUM(G483:I483)</f>
        <v/>
      </c>
      <c r="K483" s="19">
        <f>J483/8</f>
        <v/>
      </c>
      <c r="L483" t="inlineStr">
        <is>
          <t>ASWD-25</t>
        </is>
      </c>
      <c r="M483" t="inlineStr">
        <is>
          <t>F1</t>
        </is>
      </c>
      <c r="N483" t="inlineStr">
        <is>
          <t>M8</t>
        </is>
      </c>
    </row>
    <row r="484" ht="26" customHeight="1">
      <c r="A484" s="21" t="n"/>
      <c r="B484" s="20" t="n"/>
      <c r="C484" s="17" t="inlineStr">
        <is>
          <t>Keep audit records for at least one year (GID-255029)</t>
        </is>
      </c>
      <c r="D484" s="8" t="inlineStr">
        <is>
          <t>Keep audit records for at least one year (GID-255029)</t>
        </is>
      </c>
      <c r="E484" s="18" t="n">
        <v>8</v>
      </c>
      <c r="F484" s="19">
        <f>E484*F$2</f>
        <v/>
      </c>
      <c r="G484" s="19">
        <f>SUM(E484:F484)*G$2</f>
        <v/>
      </c>
      <c r="H484" s="19">
        <f>G484*H$2</f>
        <v/>
      </c>
      <c r="I484" s="19">
        <f>G484*I$2</f>
        <v/>
      </c>
      <c r="J484" s="19">
        <f>SUM(G484:I484)</f>
        <v/>
      </c>
      <c r="K484" s="19">
        <f>J484/8</f>
        <v/>
      </c>
      <c r="L484" t="inlineStr">
        <is>
          <t>ASWD-25</t>
        </is>
      </c>
      <c r="M484" t="inlineStr">
        <is>
          <t>F1</t>
        </is>
      </c>
      <c r="N484" t="inlineStr">
        <is>
          <t>M8</t>
        </is>
      </c>
    </row>
    <row r="485" ht="26" customHeight="1">
      <c r="A485" s="21" t="n"/>
      <c r="B485" s="17" t="inlineStr">
        <is>
          <t>F2 - Record login, configuration, patient, sync and firmware events</t>
        </is>
      </c>
      <c r="C485" s="17" t="inlineStr">
        <is>
          <t>Login, logout, attempts, failures, password changes (GID-255023)</t>
        </is>
      </c>
      <c r="D485" s="8" t="inlineStr">
        <is>
          <t>Core model and service</t>
        </is>
      </c>
      <c r="E485" s="18" t="n">
        <v>4</v>
      </c>
      <c r="F485" s="19">
        <f>E485*F$2</f>
        <v/>
      </c>
      <c r="G485" s="19">
        <f>SUM(E485:F485)*G$2</f>
        <v/>
      </c>
      <c r="H485" s="19">
        <f>G485*H$2</f>
        <v/>
      </c>
      <c r="I485" s="19">
        <f>G485*I$2</f>
        <v/>
      </c>
      <c r="J485" s="19">
        <f>SUM(G485:I485)</f>
        <v/>
      </c>
      <c r="K485" s="19">
        <f>J485/8</f>
        <v/>
      </c>
      <c r="L485" t="inlineStr">
        <is>
          <t>ASWD-25</t>
        </is>
      </c>
      <c r="M485" t="inlineStr">
        <is>
          <t>F2</t>
        </is>
      </c>
      <c r="N485" t="inlineStr">
        <is>
          <t>M8</t>
        </is>
      </c>
    </row>
    <row r="486" ht="26" customHeight="1">
      <c r="A486" s="21" t="n"/>
      <c r="B486" s="21" t="n"/>
      <c r="C486" s="21" t="n"/>
      <c r="D486" s="8" t="inlineStr">
        <is>
          <t>ViewModel, DTO and converters</t>
        </is>
      </c>
      <c r="E486" s="18" t="n">
        <v>4</v>
      </c>
      <c r="F486" s="19">
        <f>E486*F$2</f>
        <v/>
      </c>
      <c r="G486" s="19">
        <f>SUM(E486:F486)*G$2</f>
        <v/>
      </c>
      <c r="H486" s="19">
        <f>G486*H$2</f>
        <v/>
      </c>
      <c r="I486" s="19">
        <f>G486*I$2</f>
        <v/>
      </c>
      <c r="J486" s="19">
        <f>SUM(G486:I486)</f>
        <v/>
      </c>
      <c r="K486" s="19">
        <f>J486/8</f>
        <v/>
      </c>
      <c r="L486" t="inlineStr">
        <is>
          <t>ASWD-25</t>
        </is>
      </c>
      <c r="M486" t="inlineStr">
        <is>
          <t>F2</t>
        </is>
      </c>
      <c r="N486" t="inlineStr">
        <is>
          <t>M8</t>
        </is>
      </c>
    </row>
    <row r="487" ht="26" customHeight="1">
      <c r="A487" s="21" t="n"/>
      <c r="B487" s="21" t="n"/>
      <c r="C487" s="20" t="n"/>
      <c r="D487" s="8" t="inlineStr">
        <is>
          <t>Screen (XAML) and command wiring</t>
        </is>
      </c>
      <c r="E487" s="18" t="n">
        <v>6</v>
      </c>
      <c r="F487" s="19">
        <f>E487*F$2</f>
        <v/>
      </c>
      <c r="G487" s="19">
        <f>SUM(E487:F487)*G$2</f>
        <v/>
      </c>
      <c r="H487" s="19">
        <f>G487*H$2</f>
        <v/>
      </c>
      <c r="I487" s="19">
        <f>G487*I$2</f>
        <v/>
      </c>
      <c r="J487" s="19">
        <f>SUM(G487:I487)</f>
        <v/>
      </c>
      <c r="K487" s="19">
        <f>J487/8</f>
        <v/>
      </c>
      <c r="L487" t="inlineStr">
        <is>
          <t>ASWD-25</t>
        </is>
      </c>
      <c r="M487" t="inlineStr">
        <is>
          <t>F2</t>
        </is>
      </c>
      <c r="N487" t="inlineStr">
        <is>
          <t>M8</t>
        </is>
      </c>
    </row>
    <row r="488" ht="26" customHeight="1">
      <c r="A488" s="21" t="n"/>
      <c r="B488" s="21" t="n"/>
      <c r="C488" s="17" t="inlineStr">
        <is>
          <t>GID-255025</t>
        </is>
      </c>
      <c r="D488" s="8" t="inlineStr">
        <is>
          <t>Call sites across the affected screens and services</t>
        </is>
      </c>
      <c r="E488" s="18" t="n">
        <v>8</v>
      </c>
      <c r="F488" s="19">
        <f>E488*F$2</f>
        <v/>
      </c>
      <c r="G488" s="19">
        <f>SUM(E488:F488)*G$2</f>
        <v/>
      </c>
      <c r="H488" s="19">
        <f>G488*H$2</f>
        <v/>
      </c>
      <c r="I488" s="19">
        <f>G488*I$2</f>
        <v/>
      </c>
      <c r="J488" s="19">
        <f>SUM(G488:I488)</f>
        <v/>
      </c>
      <c r="K488" s="19">
        <f>J488/8</f>
        <v/>
      </c>
      <c r="L488" t="inlineStr">
        <is>
          <t>ASWD-25</t>
        </is>
      </c>
      <c r="M488" t="inlineStr">
        <is>
          <t>F2</t>
        </is>
      </c>
      <c r="N488" t="inlineStr">
        <is>
          <t>M8</t>
        </is>
      </c>
    </row>
    <row r="489" ht="26" customHeight="1">
      <c r="A489" s="21" t="n"/>
      <c r="B489" s="21" t="n"/>
      <c r="C489" s="17" t="inlineStr">
        <is>
          <t>Create, change, delete, export, import (GID-255024)</t>
        </is>
      </c>
      <c r="D489" s="8" t="inlineStr">
        <is>
          <t>Core model and service</t>
        </is>
      </c>
      <c r="E489" s="18" t="n">
        <v>2</v>
      </c>
      <c r="F489" s="19">
        <f>E489*F$2</f>
        <v/>
      </c>
      <c r="G489" s="19">
        <f>SUM(E489:F489)*G$2</f>
        <v/>
      </c>
      <c r="H489" s="19">
        <f>G489*H$2</f>
        <v/>
      </c>
      <c r="I489" s="19">
        <f>G489*I$2</f>
        <v/>
      </c>
      <c r="J489" s="19">
        <f>SUM(G489:I489)</f>
        <v/>
      </c>
      <c r="K489" s="19">
        <f>J489/8</f>
        <v/>
      </c>
      <c r="L489" t="inlineStr">
        <is>
          <t>ASWD-25</t>
        </is>
      </c>
      <c r="M489" t="inlineStr">
        <is>
          <t>F2</t>
        </is>
      </c>
      <c r="N489" t="inlineStr">
        <is>
          <t>M8</t>
        </is>
      </c>
    </row>
    <row r="490" ht="26" customHeight="1">
      <c r="A490" s="21" t="n"/>
      <c r="B490" s="21" t="n"/>
      <c r="C490" s="21" t="n"/>
      <c r="D490" s="8" t="inlineStr">
        <is>
          <t>ViewModel, DTO and converters</t>
        </is>
      </c>
      <c r="E490" s="18" t="n">
        <v>1</v>
      </c>
      <c r="F490" s="19">
        <f>E490*F$2</f>
        <v/>
      </c>
      <c r="G490" s="19">
        <f>SUM(E490:F490)*G$2</f>
        <v/>
      </c>
      <c r="H490" s="19">
        <f>G490*H$2</f>
        <v/>
      </c>
      <c r="I490" s="19">
        <f>G490*I$2</f>
        <v/>
      </c>
      <c r="J490" s="19">
        <f>SUM(G490:I490)</f>
        <v/>
      </c>
      <c r="K490" s="19">
        <f>J490/8</f>
        <v/>
      </c>
      <c r="L490" t="inlineStr">
        <is>
          <t>ASWD-25</t>
        </is>
      </c>
      <c r="M490" t="inlineStr">
        <is>
          <t>F2</t>
        </is>
      </c>
      <c r="N490" t="inlineStr">
        <is>
          <t>M8</t>
        </is>
      </c>
    </row>
    <row r="491" ht="26" customHeight="1">
      <c r="A491" s="21" t="n"/>
      <c r="B491" s="21" t="n"/>
      <c r="C491" s="20" t="n"/>
      <c r="D491" s="8" t="inlineStr">
        <is>
          <t>Screen (XAML) and command wiring</t>
        </is>
      </c>
      <c r="E491" s="18" t="n">
        <v>2</v>
      </c>
      <c r="F491" s="19">
        <f>E491*F$2</f>
        <v/>
      </c>
      <c r="G491" s="19">
        <f>SUM(E491:F491)*G$2</f>
        <v/>
      </c>
      <c r="H491" s="19">
        <f>G491*H$2</f>
        <v/>
      </c>
      <c r="I491" s="19">
        <f>G491*I$2</f>
        <v/>
      </c>
      <c r="J491" s="19">
        <f>SUM(G491:I491)</f>
        <v/>
      </c>
      <c r="K491" s="19">
        <f>J491/8</f>
        <v/>
      </c>
      <c r="L491" t="inlineStr">
        <is>
          <t>ASWD-25</t>
        </is>
      </c>
      <c r="M491" t="inlineStr">
        <is>
          <t>F2</t>
        </is>
      </c>
      <c r="N491" t="inlineStr">
        <is>
          <t>M8</t>
        </is>
      </c>
    </row>
    <row r="492" ht="26" customHeight="1">
      <c r="A492" s="21" t="n"/>
      <c r="B492" s="21" t="n"/>
      <c r="C492" s="17" t="inlineStr">
        <is>
          <t>Sync attempts and automatic user status changes (GID-255028, GID-255030)</t>
        </is>
      </c>
      <c r="D492" s="8" t="inlineStr">
        <is>
          <t>Contract mapping and client calls</t>
        </is>
      </c>
      <c r="E492" s="18" t="n">
        <v>5</v>
      </c>
      <c r="F492" s="19">
        <f>E492*F$2</f>
        <v/>
      </c>
      <c r="G492" s="19">
        <f>SUM(E492:F492)*G$2</f>
        <v/>
      </c>
      <c r="H492" s="19">
        <f>G492*H$2</f>
        <v/>
      </c>
      <c r="I492" s="19">
        <f>G492*I$2</f>
        <v/>
      </c>
      <c r="J492" s="19">
        <f>SUM(G492:I492)</f>
        <v/>
      </c>
      <c r="K492" s="19">
        <f>J492/8</f>
        <v/>
      </c>
      <c r="L492" t="inlineStr">
        <is>
          <t>ASWD-25</t>
        </is>
      </c>
      <c r="M492" t="inlineStr">
        <is>
          <t>F2</t>
        </is>
      </c>
      <c r="N492" t="inlineStr">
        <is>
          <t>M8</t>
        </is>
      </c>
    </row>
    <row r="493" ht="26" customHeight="1">
      <c r="A493" s="21" t="n"/>
      <c r="B493" s="21" t="n"/>
      <c r="C493" s="21" t="n"/>
      <c r="D493" s="8" t="inlineStr">
        <is>
          <t>Sync service and its trigger rules</t>
        </is>
      </c>
      <c r="E493" s="18" t="n">
        <v>5</v>
      </c>
      <c r="F493" s="19">
        <f>E493*F$2</f>
        <v/>
      </c>
      <c r="G493" s="19">
        <f>SUM(E493:F493)*G$2</f>
        <v/>
      </c>
      <c r="H493" s="19">
        <f>G493*H$2</f>
        <v/>
      </c>
      <c r="I493" s="19">
        <f>G493*I$2</f>
        <v/>
      </c>
      <c r="J493" s="19">
        <f>SUM(G493:I493)</f>
        <v/>
      </c>
      <c r="K493" s="19">
        <f>J493/8</f>
        <v/>
      </c>
      <c r="L493" t="inlineStr">
        <is>
          <t>ASWD-25</t>
        </is>
      </c>
      <c r="M493" t="inlineStr">
        <is>
          <t>F2</t>
        </is>
      </c>
      <c r="N493" t="inlineStr">
        <is>
          <t>M8</t>
        </is>
      </c>
    </row>
    <row r="494" ht="26" customHeight="1">
      <c r="A494" s="21" t="n"/>
      <c r="B494" s="21" t="n"/>
      <c r="C494" s="20" t="n"/>
      <c r="D494" s="8" t="inlineStr">
        <is>
          <t>Status, conflicts and error handling</t>
        </is>
      </c>
      <c r="E494" s="18" t="n">
        <v>4</v>
      </c>
      <c r="F494" s="19">
        <f>E494*F$2</f>
        <v/>
      </c>
      <c r="G494" s="19">
        <f>SUM(E494:F494)*G$2</f>
        <v/>
      </c>
      <c r="H494" s="19">
        <f>G494*H$2</f>
        <v/>
      </c>
      <c r="I494" s="19">
        <f>G494*I$2</f>
        <v/>
      </c>
      <c r="J494" s="19">
        <f>SUM(G494:I494)</f>
        <v/>
      </c>
      <c r="K494" s="19">
        <f>J494/8</f>
        <v/>
      </c>
      <c r="L494" t="inlineStr">
        <is>
          <t>ASWD-25</t>
        </is>
      </c>
      <c r="M494" t="inlineStr">
        <is>
          <t>F2</t>
        </is>
      </c>
      <c r="N494" t="inlineStr">
        <is>
          <t>M8</t>
        </is>
      </c>
    </row>
    <row r="495" ht="26" customHeight="1">
      <c r="A495" s="20" t="n"/>
      <c r="B495" s="20" t="n"/>
      <c r="C495" s="17" t="inlineStr">
        <is>
          <t>GID-255026</t>
        </is>
      </c>
      <c r="D495" s="8" t="inlineStr">
        <is>
          <t>Call sites across the affected screens and services</t>
        </is>
      </c>
      <c r="E495" s="18" t="n">
        <v>4</v>
      </c>
      <c r="F495" s="19">
        <f>E495*F$2</f>
        <v/>
      </c>
      <c r="G495" s="19">
        <f>SUM(E495:F495)*G$2</f>
        <v/>
      </c>
      <c r="H495" s="19">
        <f>G495*H$2</f>
        <v/>
      </c>
      <c r="I495" s="19">
        <f>G495*I$2</f>
        <v/>
      </c>
      <c r="J495" s="19">
        <f>SUM(G495:I495)</f>
        <v/>
      </c>
      <c r="K495" s="19">
        <f>J495/8</f>
        <v/>
      </c>
      <c r="L495" t="inlineStr">
        <is>
          <t>ASWD-25</t>
        </is>
      </c>
      <c r="M495" t="inlineStr">
        <is>
          <t>F2</t>
        </is>
      </c>
      <c r="N495" t="inlineStr">
        <is>
          <t>M8</t>
        </is>
      </c>
    </row>
    <row r="496" ht="26" customHeight="1">
      <c r="A496" s="16" t="inlineStr">
        <is>
          <t>ASWD-27</t>
        </is>
      </c>
      <c r="B496" s="17" t="inlineStr">
        <is>
          <t>F1 - Show version number, manufacturer and website</t>
        </is>
      </c>
      <c r="C496" s="17" t="inlineStr">
        <is>
          <t>Show version number, manufacturer name and website (GID-255039)</t>
        </is>
      </c>
      <c r="D496" s="8" t="inlineStr">
        <is>
          <t>Core model and service</t>
        </is>
      </c>
      <c r="E496" s="18" t="n">
        <v>4</v>
      </c>
      <c r="F496" s="19">
        <f>E496*F$2</f>
        <v/>
      </c>
      <c r="G496" s="19">
        <f>SUM(E496:F496)*G$2</f>
        <v/>
      </c>
      <c r="H496" s="19">
        <f>G496*H$2</f>
        <v/>
      </c>
      <c r="I496" s="19">
        <f>G496*I$2</f>
        <v/>
      </c>
      <c r="J496" s="19">
        <f>SUM(G496:I496)</f>
        <v/>
      </c>
      <c r="K496" s="19">
        <f>J496/8</f>
        <v/>
      </c>
      <c r="L496" t="inlineStr">
        <is>
          <t>ASWD-27</t>
        </is>
      </c>
      <c r="M496" t="inlineStr">
        <is>
          <t>F1</t>
        </is>
      </c>
      <c r="N496" t="inlineStr">
        <is>
          <t>M8</t>
        </is>
      </c>
    </row>
    <row r="497" ht="26" customHeight="1">
      <c r="A497" s="21" t="n"/>
      <c r="B497" s="21" t="n"/>
      <c r="C497" s="21" t="n"/>
      <c r="D497" s="8" t="inlineStr">
        <is>
          <t>ViewModel, DTO and converters</t>
        </is>
      </c>
      <c r="E497" s="18" t="n">
        <v>4</v>
      </c>
      <c r="F497" s="19">
        <f>E497*F$2</f>
        <v/>
      </c>
      <c r="G497" s="19">
        <f>SUM(E497:F497)*G$2</f>
        <v/>
      </c>
      <c r="H497" s="19">
        <f>G497*H$2</f>
        <v/>
      </c>
      <c r="I497" s="19">
        <f>G497*I$2</f>
        <v/>
      </c>
      <c r="J497" s="19">
        <f>SUM(G497:I497)</f>
        <v/>
      </c>
      <c r="K497" s="19">
        <f>J497/8</f>
        <v/>
      </c>
      <c r="L497" t="inlineStr">
        <is>
          <t>ASWD-27</t>
        </is>
      </c>
      <c r="M497" t="inlineStr">
        <is>
          <t>F1</t>
        </is>
      </c>
      <c r="N497" t="inlineStr">
        <is>
          <t>M8</t>
        </is>
      </c>
    </row>
    <row r="498" ht="26" customHeight="1">
      <c r="A498" s="20" t="n"/>
      <c r="B498" s="20" t="n"/>
      <c r="C498" s="20" t="n"/>
      <c r="D498" s="8" t="inlineStr">
        <is>
          <t>Screen (XAML) and command wiring</t>
        </is>
      </c>
      <c r="E498" s="18" t="n">
        <v>5</v>
      </c>
      <c r="F498" s="19">
        <f>E498*F$2</f>
        <v/>
      </c>
      <c r="G498" s="19">
        <f>SUM(E498:F498)*G$2</f>
        <v/>
      </c>
      <c r="H498" s="19">
        <f>G498*H$2</f>
        <v/>
      </c>
      <c r="I498" s="19">
        <f>G498*I$2</f>
        <v/>
      </c>
      <c r="J498" s="19">
        <f>SUM(G498:I498)</f>
        <v/>
      </c>
      <c r="K498" s="19">
        <f>J498/8</f>
        <v/>
      </c>
      <c r="L498" t="inlineStr">
        <is>
          <t>ASWD-27</t>
        </is>
      </c>
      <c r="M498" t="inlineStr">
        <is>
          <t>F1</t>
        </is>
      </c>
      <c r="N498" t="inlineStr">
        <is>
          <t>M8</t>
        </is>
      </c>
    </row>
    <row r="499" ht="26" customHeight="1">
      <c r="A499" s="16" t="inlineStr">
        <is>
          <t>ASWD-28</t>
        </is>
      </c>
      <c r="B499" s="17" t="inlineStr">
        <is>
          <t>F1 - Open the user help and jump to the page for the current screen</t>
        </is>
      </c>
      <c r="C499" s="17" t="inlineStr">
        <is>
          <t>Open user help from inside the app (GID-255040)</t>
        </is>
      </c>
      <c r="D499" s="8" t="inlineStr">
        <is>
          <t>Core model and service</t>
        </is>
      </c>
      <c r="E499" s="18" t="n">
        <v>7</v>
      </c>
      <c r="F499" s="19">
        <f>E499*F$2</f>
        <v/>
      </c>
      <c r="G499" s="19">
        <f>SUM(E499:F499)*G$2</f>
        <v/>
      </c>
      <c r="H499" s="19">
        <f>G499*H$2</f>
        <v/>
      </c>
      <c r="I499" s="19">
        <f>G499*I$2</f>
        <v/>
      </c>
      <c r="J499" s="19">
        <f>SUM(G499:I499)</f>
        <v/>
      </c>
      <c r="K499" s="19">
        <f>J499/8</f>
        <v/>
      </c>
      <c r="L499" t="inlineStr">
        <is>
          <t>ASWD-28</t>
        </is>
      </c>
      <c r="M499" t="inlineStr">
        <is>
          <t>F1</t>
        </is>
      </c>
      <c r="N499" t="inlineStr">
        <is>
          <t>M8</t>
        </is>
      </c>
    </row>
    <row r="500" ht="26" customHeight="1">
      <c r="A500" s="21" t="n"/>
      <c r="B500" s="21" t="n"/>
      <c r="C500" s="21" t="n"/>
      <c r="D500" s="8" t="inlineStr">
        <is>
          <t>ViewModel, DTO and converters</t>
        </is>
      </c>
      <c r="E500" s="18" t="n">
        <v>6</v>
      </c>
      <c r="F500" s="19">
        <f>E500*F$2</f>
        <v/>
      </c>
      <c r="G500" s="19">
        <f>SUM(E500:F500)*G$2</f>
        <v/>
      </c>
      <c r="H500" s="19">
        <f>G500*H$2</f>
        <v/>
      </c>
      <c r="I500" s="19">
        <f>G500*I$2</f>
        <v/>
      </c>
      <c r="J500" s="19">
        <f>SUM(G500:I500)</f>
        <v/>
      </c>
      <c r="K500" s="19">
        <f>J500/8</f>
        <v/>
      </c>
      <c r="L500" t="inlineStr">
        <is>
          <t>ASWD-28</t>
        </is>
      </c>
      <c r="M500" t="inlineStr">
        <is>
          <t>F1</t>
        </is>
      </c>
      <c r="N500" t="inlineStr">
        <is>
          <t>M8</t>
        </is>
      </c>
    </row>
    <row r="501" ht="26" customHeight="1">
      <c r="A501" s="21" t="n"/>
      <c r="B501" s="21" t="n"/>
      <c r="C501" s="20" t="n"/>
      <c r="D501" s="8" t="inlineStr">
        <is>
          <t>Screen (XAML) and command wiring</t>
        </is>
      </c>
      <c r="E501" s="18" t="n">
        <v>7</v>
      </c>
      <c r="F501" s="19">
        <f>E501*F$2</f>
        <v/>
      </c>
      <c r="G501" s="19">
        <f>SUM(E501:F501)*G$2</f>
        <v/>
      </c>
      <c r="H501" s="19">
        <f>G501*H$2</f>
        <v/>
      </c>
      <c r="I501" s="19">
        <f>G501*I$2</f>
        <v/>
      </c>
      <c r="J501" s="19">
        <f>SUM(G501:I501)</f>
        <v/>
      </c>
      <c r="K501" s="19">
        <f>J501/8</f>
        <v/>
      </c>
      <c r="L501" t="inlineStr">
        <is>
          <t>ASWD-28</t>
        </is>
      </c>
      <c r="M501" t="inlineStr">
        <is>
          <t>F1</t>
        </is>
      </c>
      <c r="N501" t="inlineStr">
        <is>
          <t>M8</t>
        </is>
      </c>
    </row>
    <row r="502" ht="26" customHeight="1">
      <c r="A502" s="21" t="n"/>
      <c r="B502" s="21" t="n"/>
      <c r="C502" s="17" t="inlineStr">
        <is>
          <t>Help icon opens the page for the current screen (GID-255041)</t>
        </is>
      </c>
      <c r="D502" s="8" t="inlineStr">
        <is>
          <t>Core model and service</t>
        </is>
      </c>
      <c r="E502" s="18" t="n">
        <v>4</v>
      </c>
      <c r="F502" s="19">
        <f>E502*F$2</f>
        <v/>
      </c>
      <c r="G502" s="19">
        <f>SUM(E502:F502)*G$2</f>
        <v/>
      </c>
      <c r="H502" s="19">
        <f>G502*H$2</f>
        <v/>
      </c>
      <c r="I502" s="19">
        <f>G502*I$2</f>
        <v/>
      </c>
      <c r="J502" s="19">
        <f>SUM(G502:I502)</f>
        <v/>
      </c>
      <c r="K502" s="19">
        <f>J502/8</f>
        <v/>
      </c>
      <c r="L502" t="inlineStr">
        <is>
          <t>ASWD-28</t>
        </is>
      </c>
      <c r="M502" t="inlineStr">
        <is>
          <t>F1</t>
        </is>
      </c>
      <c r="N502" t="inlineStr">
        <is>
          <t>M8</t>
        </is>
      </c>
    </row>
    <row r="503" ht="26" customHeight="1">
      <c r="A503" s="21" t="n"/>
      <c r="B503" s="21" t="n"/>
      <c r="C503" s="21" t="n"/>
      <c r="D503" s="8" t="inlineStr">
        <is>
          <t>ViewModel, DTO and converters</t>
        </is>
      </c>
      <c r="E503" s="18" t="n">
        <v>2</v>
      </c>
      <c r="F503" s="19">
        <f>E503*F$2</f>
        <v/>
      </c>
      <c r="G503" s="19">
        <f>SUM(E503:F503)*G$2</f>
        <v/>
      </c>
      <c r="H503" s="19">
        <f>G503*H$2</f>
        <v/>
      </c>
      <c r="I503" s="19">
        <f>G503*I$2</f>
        <v/>
      </c>
      <c r="J503" s="19">
        <f>SUM(G503:I503)</f>
        <v/>
      </c>
      <c r="K503" s="19">
        <f>J503/8</f>
        <v/>
      </c>
      <c r="L503" t="inlineStr">
        <is>
          <t>ASWD-28</t>
        </is>
      </c>
      <c r="M503" t="inlineStr">
        <is>
          <t>F1</t>
        </is>
      </c>
      <c r="N503" t="inlineStr">
        <is>
          <t>M8</t>
        </is>
      </c>
    </row>
    <row r="504" ht="26" customHeight="1">
      <c r="A504" s="20" t="n"/>
      <c r="B504" s="20" t="n"/>
      <c r="C504" s="20" t="n"/>
      <c r="D504" s="8" t="inlineStr">
        <is>
          <t>Screen (XAML) and command wiring</t>
        </is>
      </c>
      <c r="E504" s="18" t="n">
        <v>2</v>
      </c>
      <c r="F504" s="19">
        <f>E504*F$2</f>
        <v/>
      </c>
      <c r="G504" s="19">
        <f>SUM(E504:F504)*G$2</f>
        <v/>
      </c>
      <c r="H504" s="19">
        <f>G504*H$2</f>
        <v/>
      </c>
      <c r="I504" s="19">
        <f>G504*I$2</f>
        <v/>
      </c>
      <c r="J504" s="19">
        <f>SUM(G504:I504)</f>
        <v/>
      </c>
      <c r="K504" s="19">
        <f>J504/8</f>
        <v/>
      </c>
      <c r="L504" t="inlineStr">
        <is>
          <t>ASWD-28</t>
        </is>
      </c>
      <c r="M504" t="inlineStr">
        <is>
          <t>F1</t>
        </is>
      </c>
      <c r="N504" t="inlineStr">
        <is>
          <t>M8</t>
        </is>
      </c>
    </row>
    <row r="505" ht="26" customHeight="1">
      <c r="A505" s="16" t="inlineStr">
        <is>
          <t>ASWD-30</t>
        </is>
      </c>
      <c r="B505" s="17" t="inlineStr">
        <is>
          <t>F1 - Choose the installer technology and build the guided install</t>
        </is>
      </c>
      <c r="C505" s="17" t="inlineStr">
        <is>
          <t>1.5-day timeboxed comparison and a working minimal installer</t>
        </is>
      </c>
      <c r="D505" s="8" t="inlineStr">
        <is>
          <t>Timeboxed spike against the real data, file or device</t>
        </is>
      </c>
      <c r="E505" s="18" t="n">
        <v>8</v>
      </c>
      <c r="F505" s="19">
        <f>E505*F$2</f>
        <v/>
      </c>
      <c r="G505" s="19">
        <f>SUM(E505:F505)*G$2</f>
        <v/>
      </c>
      <c r="H505" s="19">
        <f>G505*H$2</f>
        <v/>
      </c>
      <c r="I505" s="19">
        <f>G505*I$2</f>
        <v/>
      </c>
      <c r="J505" s="19">
        <f>SUM(G505:I505)</f>
        <v/>
      </c>
      <c r="K505" s="19">
        <f>J505/8</f>
        <v/>
      </c>
      <c r="L505" t="inlineStr">
        <is>
          <t>ASWD-30</t>
        </is>
      </c>
      <c r="M505" t="inlineStr">
        <is>
          <t>F1</t>
        </is>
      </c>
      <c r="N505" t="inlineStr">
        <is>
          <t>M8</t>
        </is>
      </c>
    </row>
    <row r="506" ht="26" customHeight="1">
      <c r="A506" s="21" t="n"/>
      <c r="B506" s="21" t="n"/>
      <c r="C506" s="20" t="n"/>
      <c r="D506" s="8" t="inlineStr">
        <is>
          <t>Write up the findings and the decision</t>
        </is>
      </c>
      <c r="E506" s="18" t="n">
        <v>8</v>
      </c>
      <c r="F506" s="19">
        <f>E506*F$2</f>
        <v/>
      </c>
      <c r="G506" s="19">
        <f>SUM(E506:F506)*G$2</f>
        <v/>
      </c>
      <c r="H506" s="19">
        <f>G506*H$2</f>
        <v/>
      </c>
      <c r="I506" s="19">
        <f>G506*I$2</f>
        <v/>
      </c>
      <c r="J506" s="19">
        <f>SUM(G506:I506)</f>
        <v/>
      </c>
      <c r="K506" s="19">
        <f>J506/8</f>
        <v/>
      </c>
      <c r="L506" t="inlineStr">
        <is>
          <t>ASWD-30</t>
        </is>
      </c>
      <c r="M506" t="inlineStr">
        <is>
          <t>F1</t>
        </is>
      </c>
      <c r="N506" t="inlineStr">
        <is>
          <t>M8</t>
        </is>
      </c>
    </row>
    <row r="507" ht="26" customHeight="1">
      <c r="A507" s="21" t="n"/>
      <c r="B507" s="21" t="n"/>
      <c r="C507" s="17" t="inlineStr">
        <is>
          <t>Check prerequisites and system requirements before installing (GID-255046)</t>
        </is>
      </c>
      <c r="D507" s="8" t="inlineStr">
        <is>
          <t>Core model and service</t>
        </is>
      </c>
      <c r="E507" s="18" t="n">
        <v>8</v>
      </c>
      <c r="F507" s="19">
        <f>E507*F$2</f>
        <v/>
      </c>
      <c r="G507" s="19">
        <f>SUM(E507:F507)*G$2</f>
        <v/>
      </c>
      <c r="H507" s="19">
        <f>G507*H$2</f>
        <v/>
      </c>
      <c r="I507" s="19">
        <f>G507*I$2</f>
        <v/>
      </c>
      <c r="J507" s="19">
        <f>SUM(G507:I507)</f>
        <v/>
      </c>
      <c r="K507" s="19">
        <f>J507/8</f>
        <v/>
      </c>
      <c r="L507" t="inlineStr">
        <is>
          <t>ASWD-30</t>
        </is>
      </c>
      <c r="M507" t="inlineStr">
        <is>
          <t>F1</t>
        </is>
      </c>
      <c r="N507" t="inlineStr">
        <is>
          <t>M8</t>
        </is>
      </c>
    </row>
    <row r="508" ht="26" customHeight="1">
      <c r="A508" s="21" t="n"/>
      <c r="B508" s="21" t="n"/>
      <c r="C508" s="21" t="n"/>
      <c r="D508" s="8" t="inlineStr">
        <is>
          <t>ViewModel, DTO and converters</t>
        </is>
      </c>
      <c r="E508" s="18" t="n">
        <v>8</v>
      </c>
      <c r="F508" s="19">
        <f>E508*F$2</f>
        <v/>
      </c>
      <c r="G508" s="19">
        <f>SUM(E508:F508)*G$2</f>
        <v/>
      </c>
      <c r="H508" s="19">
        <f>G508*H$2</f>
        <v/>
      </c>
      <c r="I508" s="19">
        <f>G508*I$2</f>
        <v/>
      </c>
      <c r="J508" s="19">
        <f>SUM(G508:I508)</f>
        <v/>
      </c>
      <c r="K508" s="19">
        <f>J508/8</f>
        <v/>
      </c>
      <c r="L508" t="inlineStr">
        <is>
          <t>ASWD-30</t>
        </is>
      </c>
      <c r="M508" t="inlineStr">
        <is>
          <t>F1</t>
        </is>
      </c>
      <c r="N508" t="inlineStr">
        <is>
          <t>M8</t>
        </is>
      </c>
    </row>
    <row r="509" ht="26" customHeight="1">
      <c r="A509" s="21" t="n"/>
      <c r="B509" s="20" t="n"/>
      <c r="C509" s="20" t="n"/>
      <c r="D509" s="8" t="inlineStr">
        <is>
          <t>Screen (XAML) and command wiring</t>
        </is>
      </c>
      <c r="E509" s="18" t="n">
        <v>8</v>
      </c>
      <c r="F509" s="19">
        <f>E509*F$2</f>
        <v/>
      </c>
      <c r="G509" s="19">
        <f>SUM(E509:F509)*G$2</f>
        <v/>
      </c>
      <c r="H509" s="19">
        <f>G509*H$2</f>
        <v/>
      </c>
      <c r="I509" s="19">
        <f>G509*I$2</f>
        <v/>
      </c>
      <c r="J509" s="19">
        <f>SUM(G509:I509)</f>
        <v/>
      </c>
      <c r="K509" s="19">
        <f>J509/8</f>
        <v/>
      </c>
      <c r="L509" t="inlineStr">
        <is>
          <t>ASWD-30</t>
        </is>
      </c>
      <c r="M509" t="inlineStr">
        <is>
          <t>F1</t>
        </is>
      </c>
      <c r="N509" t="inlineStr">
        <is>
          <t>M8</t>
        </is>
      </c>
    </row>
    <row r="510" ht="26" customHeight="1">
      <c r="A510" s="21" t="n"/>
      <c r="B510" s="17" t="inlineStr">
        <is>
          <t>F2 - Uninstall cleanly, declare Windows 11 support and test a fresh install</t>
        </is>
      </c>
      <c r="C510" s="17" t="inlineStr">
        <is>
          <t>Remove everything, with a choice to keep or delete the database (GID-255047)</t>
        </is>
      </c>
      <c r="D510" s="8" t="inlineStr">
        <is>
          <t>Core model and service</t>
        </is>
      </c>
      <c r="E510" s="18" t="n">
        <v>6</v>
      </c>
      <c r="F510" s="19">
        <f>E510*F$2</f>
        <v/>
      </c>
      <c r="G510" s="19">
        <f>SUM(E510:F510)*G$2</f>
        <v/>
      </c>
      <c r="H510" s="19">
        <f>G510*H$2</f>
        <v/>
      </c>
      <c r="I510" s="19">
        <f>G510*I$2</f>
        <v/>
      </c>
      <c r="J510" s="19">
        <f>SUM(G510:I510)</f>
        <v/>
      </c>
      <c r="K510" s="19">
        <f>J510/8</f>
        <v/>
      </c>
      <c r="L510" t="inlineStr">
        <is>
          <t>ASWD-30</t>
        </is>
      </c>
      <c r="M510" t="inlineStr">
        <is>
          <t>F2</t>
        </is>
      </c>
      <c r="N510" t="inlineStr">
        <is>
          <t>M8</t>
        </is>
      </c>
    </row>
    <row r="511" ht="26" customHeight="1">
      <c r="A511" s="21" t="n"/>
      <c r="B511" s="21" t="n"/>
      <c r="C511" s="21" t="n"/>
      <c r="D511" s="8" t="inlineStr">
        <is>
          <t>ViewModel, DTO and converters</t>
        </is>
      </c>
      <c r="E511" s="18" t="n">
        <v>6</v>
      </c>
      <c r="F511" s="19">
        <f>E511*F$2</f>
        <v/>
      </c>
      <c r="G511" s="19">
        <f>SUM(E511:F511)*G$2</f>
        <v/>
      </c>
      <c r="H511" s="19">
        <f>G511*H$2</f>
        <v/>
      </c>
      <c r="I511" s="19">
        <f>G511*I$2</f>
        <v/>
      </c>
      <c r="J511" s="19">
        <f>SUM(G511:I511)</f>
        <v/>
      </c>
      <c r="K511" s="19">
        <f>J511/8</f>
        <v/>
      </c>
      <c r="L511" t="inlineStr">
        <is>
          <t>ASWD-30</t>
        </is>
      </c>
      <c r="M511" t="inlineStr">
        <is>
          <t>F2</t>
        </is>
      </c>
      <c r="N511" t="inlineStr">
        <is>
          <t>M8</t>
        </is>
      </c>
    </row>
    <row r="512" ht="26" customHeight="1">
      <c r="A512" s="21" t="n"/>
      <c r="B512" s="21" t="n"/>
      <c r="C512" s="20" t="n"/>
      <c r="D512" s="8" t="inlineStr">
        <is>
          <t>Screen (XAML) and command wiring</t>
        </is>
      </c>
      <c r="E512" s="18" t="n">
        <v>7</v>
      </c>
      <c r="F512" s="19">
        <f>E512*F$2</f>
        <v/>
      </c>
      <c r="G512" s="19">
        <f>SUM(E512:F512)*G$2</f>
        <v/>
      </c>
      <c r="H512" s="19">
        <f>G512*H$2</f>
        <v/>
      </c>
      <c r="I512" s="19">
        <f>G512*I$2</f>
        <v/>
      </c>
      <c r="J512" s="19">
        <f>SUM(G512:I512)</f>
        <v/>
      </c>
      <c r="K512" s="19">
        <f>J512/8</f>
        <v/>
      </c>
      <c r="L512" t="inlineStr">
        <is>
          <t>ASWD-30</t>
        </is>
      </c>
      <c r="M512" t="inlineStr">
        <is>
          <t>F2</t>
        </is>
      </c>
      <c r="N512" t="inlineStr">
        <is>
          <t>M8</t>
        </is>
      </c>
    </row>
    <row r="513" ht="26" customHeight="1">
      <c r="A513" s="21" t="n"/>
      <c r="B513" s="21" t="n"/>
      <c r="C513" s="17" t="inlineStr">
        <is>
          <t>Confirm and declare support for Windows 11 Pro and Enterprise, and check the operating system at install time (GID-255007)</t>
        </is>
      </c>
      <c r="D513" s="8" t="inlineStr">
        <is>
          <t>Implementation</t>
        </is>
      </c>
      <c r="E513" s="18" t="n">
        <v>8</v>
      </c>
      <c r="F513" s="19">
        <f>E513*F$2</f>
        <v/>
      </c>
      <c r="G513" s="19">
        <f>SUM(E513:F513)*G$2</f>
        <v/>
      </c>
      <c r="H513" s="19">
        <f>G513*H$2</f>
        <v/>
      </c>
      <c r="I513" s="19">
        <f>G513*I$2</f>
        <v/>
      </c>
      <c r="J513" s="19">
        <f>SUM(G513:I513)</f>
        <v/>
      </c>
      <c r="K513" s="19">
        <f>J513/8</f>
        <v/>
      </c>
      <c r="L513" t="inlineStr">
        <is>
          <t>ASWD-30</t>
        </is>
      </c>
      <c r="M513" t="inlineStr">
        <is>
          <t>F2</t>
        </is>
      </c>
      <c r="N513" t="inlineStr">
        <is>
          <t>M8</t>
        </is>
      </c>
    </row>
    <row r="514" ht="26" customHeight="1">
      <c r="A514" s="21" t="n"/>
      <c r="B514" s="21" t="n"/>
      <c r="C514" s="20" t="n"/>
      <c r="D514" s="8" t="inlineStr">
        <is>
          <t>Verify against a clean checkout</t>
        </is>
      </c>
      <c r="E514" s="18" t="n">
        <v>7</v>
      </c>
      <c r="F514" s="19">
        <f>E514*F$2</f>
        <v/>
      </c>
      <c r="G514" s="19">
        <f>SUM(E514:F514)*G$2</f>
        <v/>
      </c>
      <c r="H514" s="19">
        <f>G514*H$2</f>
        <v/>
      </c>
      <c r="I514" s="19">
        <f>G514*I$2</f>
        <v/>
      </c>
      <c r="J514" s="19">
        <f>SUM(G514:I514)</f>
        <v/>
      </c>
      <c r="K514" s="19">
        <f>J514/8</f>
        <v/>
      </c>
      <c r="L514" t="inlineStr">
        <is>
          <t>ASWD-30</t>
        </is>
      </c>
      <c r="M514" t="inlineStr">
        <is>
          <t>F2</t>
        </is>
      </c>
      <c r="N514" t="inlineStr">
        <is>
          <t>M8</t>
        </is>
      </c>
    </row>
    <row r="515" ht="26" customHeight="1">
      <c r="A515" s="21" t="n"/>
      <c r="B515" s="21" t="n"/>
      <c r="C515" s="17" t="inlineStr">
        <is>
          <t>Test a fresh install on clean Windows 11 Pro and Enterprise</t>
        </is>
      </c>
      <c r="D515" s="8" t="inlineStr">
        <is>
          <t>Implementation</t>
        </is>
      </c>
      <c r="E515" s="18" t="n">
        <v>8</v>
      </c>
      <c r="F515" s="19">
        <f>E515*F$2</f>
        <v/>
      </c>
      <c r="G515" s="19">
        <f>SUM(E515:F515)*G$2</f>
        <v/>
      </c>
      <c r="H515" s="19">
        <f>G515*H$2</f>
        <v/>
      </c>
      <c r="I515" s="19">
        <f>G515*I$2</f>
        <v/>
      </c>
      <c r="J515" s="19">
        <f>SUM(G515:I515)</f>
        <v/>
      </c>
      <c r="K515" s="19">
        <f>J515/8</f>
        <v/>
      </c>
      <c r="L515" t="inlineStr">
        <is>
          <t>ASWD-30</t>
        </is>
      </c>
      <c r="M515" t="inlineStr">
        <is>
          <t>F2</t>
        </is>
      </c>
      <c r="N515" t="inlineStr">
        <is>
          <t>M8</t>
        </is>
      </c>
    </row>
    <row r="516" ht="26" customHeight="1">
      <c r="A516" s="21" t="n"/>
      <c r="B516" s="20" t="n"/>
      <c r="C516" s="20" t="n"/>
      <c r="D516" s="8" t="inlineStr">
        <is>
          <t>Verify against a clean checkout</t>
        </is>
      </c>
      <c r="E516" s="18" t="n">
        <v>7</v>
      </c>
      <c r="F516" s="19">
        <f>E516*F$2</f>
        <v/>
      </c>
      <c r="G516" s="19">
        <f>SUM(E516:F516)*G$2</f>
        <v/>
      </c>
      <c r="H516" s="19">
        <f>G516*H$2</f>
        <v/>
      </c>
      <c r="I516" s="19">
        <f>G516*I$2</f>
        <v/>
      </c>
      <c r="J516" s="19">
        <f>SUM(G516:I516)</f>
        <v/>
      </c>
      <c r="K516" s="19">
        <f>J516/8</f>
        <v/>
      </c>
      <c r="L516" t="inlineStr">
        <is>
          <t>ASWD-30</t>
        </is>
      </c>
      <c r="M516" t="inlineStr">
        <is>
          <t>F2</t>
        </is>
      </c>
      <c r="N516" t="inlineStr">
        <is>
          <t>M8</t>
        </is>
      </c>
    </row>
    <row r="517" ht="26" customHeight="1">
      <c r="A517" s="21" t="n"/>
      <c r="B517" s="17" t="inlineStr">
        <is>
          <t>F3 - Encrypt the databases, check the network and confirm final storage</t>
        </is>
      </c>
      <c r="C517" s="17" t="inlineStr">
        <is>
          <t>Detect no network before calling a web service and show a clear error (GID-255006)</t>
        </is>
      </c>
      <c r="D517" s="8" t="inlineStr">
        <is>
          <t>Core model and service</t>
        </is>
      </c>
      <c r="E517" s="18" t="n">
        <v>6</v>
      </c>
      <c r="F517" s="19">
        <f>E517*F$2</f>
        <v/>
      </c>
      <c r="G517" s="19">
        <f>SUM(E517:F517)*G$2</f>
        <v/>
      </c>
      <c r="H517" s="19">
        <f>G517*H$2</f>
        <v/>
      </c>
      <c r="I517" s="19">
        <f>G517*I$2</f>
        <v/>
      </c>
      <c r="J517" s="19">
        <f>SUM(G517:I517)</f>
        <v/>
      </c>
      <c r="K517" s="19">
        <f>J517/8</f>
        <v/>
      </c>
      <c r="L517" t="inlineStr">
        <is>
          <t>ASWD-30</t>
        </is>
      </c>
      <c r="M517" t="inlineStr">
        <is>
          <t>F3</t>
        </is>
      </c>
      <c r="N517" t="inlineStr">
        <is>
          <t>M8</t>
        </is>
      </c>
    </row>
    <row r="518" ht="26" customHeight="1">
      <c r="A518" s="21" t="n"/>
      <c r="B518" s="21" t="n"/>
      <c r="C518" s="21" t="n"/>
      <c r="D518" s="8" t="inlineStr">
        <is>
          <t>ViewModel, DTO and converters</t>
        </is>
      </c>
      <c r="E518" s="18" t="n">
        <v>6</v>
      </c>
      <c r="F518" s="19">
        <f>E518*F$2</f>
        <v/>
      </c>
      <c r="G518" s="19">
        <f>SUM(E518:F518)*G$2</f>
        <v/>
      </c>
      <c r="H518" s="19">
        <f>G518*H$2</f>
        <v/>
      </c>
      <c r="I518" s="19">
        <f>G518*I$2</f>
        <v/>
      </c>
      <c r="J518" s="19">
        <f>SUM(G518:I518)</f>
        <v/>
      </c>
      <c r="K518" s="19">
        <f>J518/8</f>
        <v/>
      </c>
      <c r="L518" t="inlineStr">
        <is>
          <t>ASWD-30</t>
        </is>
      </c>
      <c r="M518" t="inlineStr">
        <is>
          <t>F3</t>
        </is>
      </c>
      <c r="N518" t="inlineStr">
        <is>
          <t>M8</t>
        </is>
      </c>
    </row>
    <row r="519" ht="26" customHeight="1">
      <c r="A519" s="21" t="n"/>
      <c r="B519" s="21" t="n"/>
      <c r="C519" s="20" t="n"/>
      <c r="D519" s="8" t="inlineStr">
        <is>
          <t>Screen (XAML) and command wiring</t>
        </is>
      </c>
      <c r="E519" s="18" t="n">
        <v>7</v>
      </c>
      <c r="F519" s="19">
        <f>E519*F$2</f>
        <v/>
      </c>
      <c r="G519" s="19">
        <f>SUM(E519:F519)*G$2</f>
        <v/>
      </c>
      <c r="H519" s="19">
        <f>G519*H$2</f>
        <v/>
      </c>
      <c r="I519" s="19">
        <f>G519*I$2</f>
        <v/>
      </c>
      <c r="J519" s="19">
        <f>SUM(G519:I519)</f>
        <v/>
      </c>
      <c r="K519" s="19">
        <f>J519/8</f>
        <v/>
      </c>
      <c r="L519" t="inlineStr">
        <is>
          <t>ASWD-30</t>
        </is>
      </c>
      <c r="M519" t="inlineStr">
        <is>
          <t>F3</t>
        </is>
      </c>
      <c r="N519" t="inlineStr">
        <is>
          <t>M8</t>
        </is>
      </c>
    </row>
    <row r="520" ht="26" customHeight="1">
      <c r="A520" s="21" t="n"/>
      <c r="B520" s="21" t="n"/>
      <c r="C520" s="17" t="inlineStr">
        <is>
          <t>Encrypt both database files to AES-256 and manage the key at install time (GID-256510, GID-256511)</t>
        </is>
      </c>
      <c r="D520" s="8" t="inlineStr">
        <is>
          <t>Core model and service</t>
        </is>
      </c>
      <c r="E520" s="18" t="n">
        <v>3</v>
      </c>
      <c r="F520" s="19">
        <f>E520*F$2</f>
        <v/>
      </c>
      <c r="G520" s="19">
        <f>SUM(E520:F520)*G$2</f>
        <v/>
      </c>
      <c r="H520" s="19">
        <f>G520*H$2</f>
        <v/>
      </c>
      <c r="I520" s="19">
        <f>G520*I$2</f>
        <v/>
      </c>
      <c r="J520" s="19">
        <f>SUM(G520:I520)</f>
        <v/>
      </c>
      <c r="K520" s="19">
        <f>J520/8</f>
        <v/>
      </c>
      <c r="L520" t="inlineStr">
        <is>
          <t>ASWD-30</t>
        </is>
      </c>
      <c r="M520" t="inlineStr">
        <is>
          <t>F3</t>
        </is>
      </c>
      <c r="N520" t="inlineStr">
        <is>
          <t>M8</t>
        </is>
      </c>
    </row>
    <row r="521" ht="26" customHeight="1">
      <c r="A521" s="21" t="n"/>
      <c r="B521" s="21" t="n"/>
      <c r="C521" s="21" t="n"/>
      <c r="D521" s="8" t="inlineStr">
        <is>
          <t>ViewModel, DTO and converters</t>
        </is>
      </c>
      <c r="E521" s="18" t="n">
        <v>2</v>
      </c>
      <c r="F521" s="19">
        <f>E521*F$2</f>
        <v/>
      </c>
      <c r="G521" s="19">
        <f>SUM(E521:F521)*G$2</f>
        <v/>
      </c>
      <c r="H521" s="19">
        <f>G521*H$2</f>
        <v/>
      </c>
      <c r="I521" s="19">
        <f>G521*I$2</f>
        <v/>
      </c>
      <c r="J521" s="19">
        <f>SUM(G521:I521)</f>
        <v/>
      </c>
      <c r="K521" s="19">
        <f>J521/8</f>
        <v/>
      </c>
      <c r="L521" t="inlineStr">
        <is>
          <t>ASWD-30</t>
        </is>
      </c>
      <c r="M521" t="inlineStr">
        <is>
          <t>F3</t>
        </is>
      </c>
      <c r="N521" t="inlineStr">
        <is>
          <t>M8</t>
        </is>
      </c>
    </row>
    <row r="522" ht="26" customHeight="1">
      <c r="A522" s="21" t="n"/>
      <c r="B522" s="21" t="n"/>
      <c r="C522" s="20" t="n"/>
      <c r="D522" s="8" t="inlineStr">
        <is>
          <t>Screen (XAML) and command wiring</t>
        </is>
      </c>
      <c r="E522" s="18" t="n">
        <v>2</v>
      </c>
      <c r="F522" s="19">
        <f>E522*F$2</f>
        <v/>
      </c>
      <c r="G522" s="19">
        <f>SUM(E522:F522)*G$2</f>
        <v/>
      </c>
      <c r="H522" s="19">
        <f>G522*H$2</f>
        <v/>
      </c>
      <c r="I522" s="19">
        <f>G522*I$2</f>
        <v/>
      </c>
      <c r="J522" s="19">
        <f>SUM(G522:I522)</f>
        <v/>
      </c>
      <c r="K522" s="19">
        <f>J522/8</f>
        <v/>
      </c>
      <c r="L522" t="inlineStr">
        <is>
          <t>ASWD-30</t>
        </is>
      </c>
      <c r="M522" t="inlineStr">
        <is>
          <t>F3</t>
        </is>
      </c>
      <c r="N522" t="inlineStr">
        <is>
          <t>M8</t>
        </is>
      </c>
    </row>
    <row r="523" ht="26" customHeight="1">
      <c r="A523" s="21" t="n"/>
      <c r="B523" s="21" t="n"/>
      <c r="C523" s="17" t="inlineStr">
        <is>
          <t>Confirm patient records and settings land in the right database, including records received from a device (GID-255042 to GID-255045)</t>
        </is>
      </c>
      <c r="D523" s="8" t="inlineStr">
        <is>
          <t>Settings entity and storage</t>
        </is>
      </c>
      <c r="E523" s="18" t="n">
        <v>6</v>
      </c>
      <c r="F523" s="19">
        <f>E523*F$2</f>
        <v/>
      </c>
      <c r="G523" s="19">
        <f>SUM(E523:F523)*G$2</f>
        <v/>
      </c>
      <c r="H523" s="19">
        <f>G523*H$2</f>
        <v/>
      </c>
      <c r="I523" s="19">
        <f>G523*I$2</f>
        <v/>
      </c>
      <c r="J523" s="19">
        <f>SUM(G523:I523)</f>
        <v/>
      </c>
      <c r="K523" s="19">
        <f>J523/8</f>
        <v/>
      </c>
      <c r="L523" t="inlineStr">
        <is>
          <t>ASWD-30</t>
        </is>
      </c>
      <c r="M523" t="inlineStr">
        <is>
          <t>F3</t>
        </is>
      </c>
      <c r="N523" t="inlineStr">
        <is>
          <t>M8</t>
        </is>
      </c>
    </row>
    <row r="524" ht="26" customHeight="1">
      <c r="A524" s="21" t="n"/>
      <c r="B524" s="21" t="n"/>
      <c r="C524" s="21" t="n"/>
      <c r="D524" s="8" t="inlineStr">
        <is>
          <t>Configuration screen and validation</t>
        </is>
      </c>
      <c r="E524" s="18" t="n">
        <v>8</v>
      </c>
      <c r="F524" s="19">
        <f>E524*F$2</f>
        <v/>
      </c>
      <c r="G524" s="19">
        <f>SUM(E524:F524)*G$2</f>
        <v/>
      </c>
      <c r="H524" s="19">
        <f>G524*H$2</f>
        <v/>
      </c>
      <c r="I524" s="19">
        <f>G524*I$2</f>
        <v/>
      </c>
      <c r="J524" s="19">
        <f>SUM(G524:I524)</f>
        <v/>
      </c>
      <c r="K524" s="19">
        <f>J524/8</f>
        <v/>
      </c>
      <c r="L524" t="inlineStr">
        <is>
          <t>ASWD-30</t>
        </is>
      </c>
      <c r="M524" t="inlineStr">
        <is>
          <t>F3</t>
        </is>
      </c>
      <c r="N524" t="inlineStr">
        <is>
          <t>M8</t>
        </is>
      </c>
    </row>
    <row r="525" ht="26" customHeight="1">
      <c r="A525" s="21" t="n"/>
      <c r="B525" s="20" t="n"/>
      <c r="C525" s="20" t="n"/>
      <c r="D525" s="8" t="inlineStr">
        <is>
          <t>Apply the setting everywhere it is read</t>
        </is>
      </c>
      <c r="E525" s="18" t="n">
        <v>5</v>
      </c>
      <c r="F525" s="19">
        <f>E525*F$2</f>
        <v/>
      </c>
      <c r="G525" s="19">
        <f>SUM(E525:F525)*G$2</f>
        <v/>
      </c>
      <c r="H525" s="19">
        <f>G525*H$2</f>
        <v/>
      </c>
      <c r="I525" s="19">
        <f>G525*I$2</f>
        <v/>
      </c>
      <c r="J525" s="19">
        <f>SUM(G525:I525)</f>
        <v/>
      </c>
      <c r="K525" s="19">
        <f>J525/8</f>
        <v/>
      </c>
      <c r="L525" t="inlineStr">
        <is>
          <t>ASWD-30</t>
        </is>
      </c>
      <c r="M525" t="inlineStr">
        <is>
          <t>F3</t>
        </is>
      </c>
      <c r="N525" t="inlineStr">
        <is>
          <t>M8</t>
        </is>
      </c>
    </row>
    <row r="526" ht="26" customHeight="1">
      <c r="A526" s="21" t="n"/>
      <c r="B526" s="17" t="inlineStr">
        <is>
          <t>F4 - Database encryption research: the options, the cost and the decision</t>
        </is>
      </c>
      <c r="C526" s="17" t="inlineStr">
        <is>
          <t>Survey the options and what each one costs to licence: SQLCipher through SQLitePCLRaw, the commercial SQLite Encryption Extension, column-level encryption through EF Core value converters, and OS-level BitLocker or EFS</t>
        </is>
      </c>
      <c r="D526" s="8" t="inlineStr">
        <is>
          <t>Survey the options and what each one costs to licence: SQLCipher through SQLitePCLRaw, the commercial SQLite Encryption Extension, column-level encryption through EF Core value converters, and OS-level BitLocker or EFS</t>
        </is>
      </c>
      <c r="E526" s="18" t="n">
        <v>8</v>
      </c>
      <c r="F526" s="19">
        <f>E526*F$2</f>
        <v/>
      </c>
      <c r="G526" s="19">
        <f>SUM(E526:F526)*G$2</f>
        <v/>
      </c>
      <c r="H526" s="19">
        <f>G526*H$2</f>
        <v/>
      </c>
      <c r="I526" s="19">
        <f>G526*I$2</f>
        <v/>
      </c>
      <c r="J526" s="19">
        <f>SUM(G526:I526)</f>
        <v/>
      </c>
      <c r="K526" s="19">
        <f>J526/8</f>
        <v/>
      </c>
      <c r="L526" t="inlineStr">
        <is>
          <t>ASWD-30</t>
        </is>
      </c>
      <c r="M526" t="inlineStr">
        <is>
          <t>F4</t>
        </is>
      </c>
      <c r="N526" t="inlineStr">
        <is>
          <t>M8</t>
        </is>
      </c>
    </row>
    <row r="527" ht="26" customHeight="1">
      <c r="A527" s="21" t="n"/>
      <c r="B527" s="21" t="n"/>
      <c r="C527" s="17" t="inlineStr">
        <is>
          <t>Spike each viable option against the real schema and a realistic data volume, and measure read and write cost rather than guess it</t>
        </is>
      </c>
      <c r="D527" s="8" t="inlineStr">
        <is>
          <t>Timeboxed spike against the real data, file or device</t>
        </is>
      </c>
      <c r="E527" s="18" t="n">
        <v>8</v>
      </c>
      <c r="F527" s="19">
        <f>E527*F$2</f>
        <v/>
      </c>
      <c r="G527" s="19">
        <f>SUM(E527:F527)*G$2</f>
        <v/>
      </c>
      <c r="H527" s="19">
        <f>G527*H$2</f>
        <v/>
      </c>
      <c r="I527" s="19">
        <f>G527*I$2</f>
        <v/>
      </c>
      <c r="J527" s="19">
        <f>SUM(G527:I527)</f>
        <v/>
      </c>
      <c r="K527" s="19">
        <f>J527/8</f>
        <v/>
      </c>
      <c r="L527" t="inlineStr">
        <is>
          <t>ASWD-30</t>
        </is>
      </c>
      <c r="M527" t="inlineStr">
        <is>
          <t>F4</t>
        </is>
      </c>
      <c r="N527" t="inlineStr">
        <is>
          <t>M8</t>
        </is>
      </c>
    </row>
    <row r="528" ht="26" customHeight="1">
      <c r="A528" s="21" t="n"/>
      <c r="B528" s="21" t="n"/>
      <c r="C528" s="20" t="n"/>
      <c r="D528" s="8" t="inlineStr">
        <is>
          <t>Write up the findings and the decision</t>
        </is>
      </c>
      <c r="E528" s="18" t="n">
        <v>6</v>
      </c>
      <c r="F528" s="19">
        <f>E528*F$2</f>
        <v/>
      </c>
      <c r="G528" s="19">
        <f>SUM(E528:F528)*G$2</f>
        <v/>
      </c>
      <c r="H528" s="19">
        <f>G528*H$2</f>
        <v/>
      </c>
      <c r="I528" s="19">
        <f>G528*I$2</f>
        <v/>
      </c>
      <c r="J528" s="19">
        <f>SUM(G528:I528)</f>
        <v/>
      </c>
      <c r="K528" s="19">
        <f>J528/8</f>
        <v/>
      </c>
      <c r="L528" t="inlineStr">
        <is>
          <t>ASWD-30</t>
        </is>
      </c>
      <c r="M528" t="inlineStr">
        <is>
          <t>F4</t>
        </is>
      </c>
      <c r="N528" t="inlineStr">
        <is>
          <t>M8</t>
        </is>
      </c>
    </row>
    <row r="529" ht="26" customHeight="1">
      <c r="A529" s="21" t="n"/>
      <c r="B529" s="21" t="n"/>
      <c r="C529" s="17" t="inlineStr">
        <is>
          <t>Key management: where the key lives, how it is protected at rest, how it rotates, and what happens when it is lost — a lost key on an encrypted patient database is unrecoverable data</t>
        </is>
      </c>
      <c r="D529" s="8" t="inlineStr">
        <is>
          <t>Key management: where the key lives, how it is protected at rest, how it rotates, and what happens when it is lost — a lost key on an encrypted patient database is unrecoverable data</t>
        </is>
      </c>
      <c r="E529" s="18" t="n">
        <v>8</v>
      </c>
      <c r="F529" s="19">
        <f>E529*F$2</f>
        <v/>
      </c>
      <c r="G529" s="19">
        <f>SUM(E529:F529)*G$2</f>
        <v/>
      </c>
      <c r="H529" s="19">
        <f>G529*H$2</f>
        <v/>
      </c>
      <c r="I529" s="19">
        <f>G529*I$2</f>
        <v/>
      </c>
      <c r="J529" s="19">
        <f>SUM(G529:I529)</f>
        <v/>
      </c>
      <c r="K529" s="19">
        <f>J529/8</f>
        <v/>
      </c>
      <c r="L529" t="inlineStr">
        <is>
          <t>ASWD-30</t>
        </is>
      </c>
      <c r="M529" t="inlineStr">
        <is>
          <t>F4</t>
        </is>
      </c>
      <c r="N529" t="inlineStr">
        <is>
          <t>M8</t>
        </is>
      </c>
    </row>
    <row r="530" ht="26" customHeight="1">
      <c r="A530" s="21" t="n"/>
      <c r="B530" s="21" t="n"/>
      <c r="C530" s="17" t="inlineStr">
        <is>
          <t>Prove backup, restore and EF Core migrations still work on an encrypted file, and decide how support reads a customer database</t>
        </is>
      </c>
      <c r="D530" s="8" t="inlineStr">
        <is>
          <t>Timeboxed spike against the real data, file or device</t>
        </is>
      </c>
      <c r="E530" s="18" t="n">
        <v>8</v>
      </c>
      <c r="F530" s="19">
        <f>E530*F$2</f>
        <v/>
      </c>
      <c r="G530" s="19">
        <f>SUM(E530:F530)*G$2</f>
        <v/>
      </c>
      <c r="H530" s="19">
        <f>G530*H$2</f>
        <v/>
      </c>
      <c r="I530" s="19">
        <f>G530*I$2</f>
        <v/>
      </c>
      <c r="J530" s="19">
        <f>SUM(G530:I530)</f>
        <v/>
      </c>
      <c r="K530" s="19">
        <f>J530/8</f>
        <v/>
      </c>
      <c r="L530" t="inlineStr">
        <is>
          <t>ASWD-30</t>
        </is>
      </c>
      <c r="M530" t="inlineStr">
        <is>
          <t>F4</t>
        </is>
      </c>
      <c r="N530" t="inlineStr">
        <is>
          <t>M8</t>
        </is>
      </c>
    </row>
    <row r="531" ht="26" customHeight="1">
      <c r="A531" s="21" t="n"/>
      <c r="B531" s="21" t="n"/>
      <c r="C531" s="20" t="n"/>
      <c r="D531" s="8" t="inlineStr">
        <is>
          <t>Write up the findings and the decision</t>
        </is>
      </c>
      <c r="E531" s="18" t="n">
        <v>4</v>
      </c>
      <c r="F531" s="19">
        <f>E531*F$2</f>
        <v/>
      </c>
      <c r="G531" s="19">
        <f>SUM(E531:F531)*G$2</f>
        <v/>
      </c>
      <c r="H531" s="19">
        <f>G531*H$2</f>
        <v/>
      </c>
      <c r="I531" s="19">
        <f>G531*I$2</f>
        <v/>
      </c>
      <c r="J531" s="19">
        <f>SUM(G531:I531)</f>
        <v/>
      </c>
      <c r="K531" s="19">
        <f>J531/8</f>
        <v/>
      </c>
      <c r="L531" t="inlineStr">
        <is>
          <t>ASWD-30</t>
        </is>
      </c>
      <c r="M531" t="inlineStr">
        <is>
          <t>F4</t>
        </is>
      </c>
      <c r="N531" t="inlineStr">
        <is>
          <t>M8</t>
        </is>
      </c>
    </row>
    <row r="532" ht="26" customHeight="1">
      <c r="A532" s="20" t="n"/>
      <c r="B532" s="20" t="n"/>
      <c r="C532" s="17" t="inlineStr">
        <is>
          <t>Write the decision: the recommendation, the trade-offs, and the design rules every later feature must follow — including whether development proceeds against the encrypted provider from Epic 2 onward</t>
        </is>
      </c>
      <c r="D532" s="8" t="inlineStr">
        <is>
          <t>Write the decision: the recommendation, the trade-offs, and the design rules every later feature must follow — including whether development proceeds against the encrypted provider from Epic 2 onward</t>
        </is>
      </c>
      <c r="E532" s="18" t="n">
        <v>8</v>
      </c>
      <c r="F532" s="19">
        <f>E532*F$2</f>
        <v/>
      </c>
      <c r="G532" s="19">
        <f>SUM(E532:F532)*G$2</f>
        <v/>
      </c>
      <c r="H532" s="19">
        <f>G532*H$2</f>
        <v/>
      </c>
      <c r="I532" s="19">
        <f>G532*I$2</f>
        <v/>
      </c>
      <c r="J532" s="19">
        <f>SUM(G532:I532)</f>
        <v/>
      </c>
      <c r="K532" s="19">
        <f>J532/8</f>
        <v/>
      </c>
      <c r="L532" t="inlineStr">
        <is>
          <t>ASWD-30</t>
        </is>
      </c>
      <c r="M532" t="inlineStr">
        <is>
          <t>F4</t>
        </is>
      </c>
      <c r="N532" t="inlineStr">
        <is>
          <t>M8</t>
        </is>
      </c>
    </row>
    <row r="533" ht="26" customHeight="1">
      <c r="A533" s="16" t="inlineStr">
        <is>
          <t>ASWD-33</t>
        </is>
      </c>
      <c r="B533" s="17" t="inlineStr">
        <is>
          <t>F1 - Release testing: manual test against every requirement, and install on a new Windows machine</t>
        </is>
      </c>
      <c r="C533" s="17" t="inlineStr">
        <is>
          <t>Write the test plan: one manual test case per requirement, with the expected result and the evidence to capture</t>
        </is>
      </c>
      <c r="D533" s="8" t="inlineStr">
        <is>
          <t>Write the test plan: one manual test case per requirement, with the expected result and the evidence to capture</t>
        </is>
      </c>
      <c r="E533" s="18" t="n">
        <v>32</v>
      </c>
      <c r="F533" s="19">
        <f>E533*F$2</f>
        <v/>
      </c>
      <c r="G533" s="19">
        <f>SUM(E533:F533)*G$2</f>
        <v/>
      </c>
      <c r="H533" s="19">
        <f>G533*H$2</f>
        <v/>
      </c>
      <c r="I533" s="19">
        <f>G533*I$2</f>
        <v/>
      </c>
      <c r="J533" s="19">
        <f>SUM(G533:I533)</f>
        <v/>
      </c>
      <c r="K533" s="19">
        <f>J533/8</f>
        <v/>
      </c>
      <c r="L533" t="inlineStr">
        <is>
          <t>ASWD-33</t>
        </is>
      </c>
      <c r="M533" t="inlineStr">
        <is>
          <t>F1</t>
        </is>
      </c>
      <c r="N533" t="inlineStr">
        <is>
          <t>M8</t>
        </is>
      </c>
    </row>
    <row r="534" ht="26" customHeight="1">
      <c r="A534" s="21" t="n"/>
      <c r="B534" s="21" t="n"/>
      <c r="C534" s="17" t="inlineStr">
        <is>
          <t>Execute the full manual pass across all 196 requirements against a named build, and re-test what fails after each fix</t>
        </is>
      </c>
      <c r="D534" s="8" t="inlineStr">
        <is>
          <t>Execute the full manual pass across all 196 requirements against a named build, and re-test what fails after each fix</t>
        </is>
      </c>
      <c r="E534" s="18" t="n">
        <v>56</v>
      </c>
      <c r="F534" s="19">
        <f>E534*F$2</f>
        <v/>
      </c>
      <c r="G534" s="19">
        <f>SUM(E534:F534)*G$2</f>
        <v/>
      </c>
      <c r="H534" s="19">
        <f>G534*H$2</f>
        <v/>
      </c>
      <c r="I534" s="19">
        <f>G534*I$2</f>
        <v/>
      </c>
      <c r="J534" s="19">
        <f>SUM(G534:I534)</f>
        <v/>
      </c>
      <c r="K534" s="19">
        <f>J534/8</f>
        <v/>
      </c>
      <c r="L534" t="inlineStr">
        <is>
          <t>ASWD-33</t>
        </is>
      </c>
      <c r="M534" t="inlineStr">
        <is>
          <t>F1</t>
        </is>
      </c>
      <c r="N534" t="inlineStr">
        <is>
          <t>M8</t>
        </is>
      </c>
    </row>
    <row r="535" ht="26" customHeight="1">
      <c r="A535" s="21" t="n"/>
      <c r="B535" s="20" t="n"/>
      <c r="C535" s="17" t="inlineStr">
        <is>
          <t>Installer testing: install on a clean machine of each supported Windows version and run the pass there, not only on a developer machine</t>
        </is>
      </c>
      <c r="D535" s="8" t="inlineStr">
        <is>
          <t>Installer testing: install on a clean machine of each supported Windows version and run the pass there, not only on a developer machine</t>
        </is>
      </c>
      <c r="E535" s="18" t="n">
        <v>11</v>
      </c>
      <c r="F535" s="19">
        <f>E535*F$2</f>
        <v/>
      </c>
      <c r="G535" s="19">
        <f>SUM(E535:F535)*G$2</f>
        <v/>
      </c>
      <c r="H535" s="19">
        <f>G535*H$2</f>
        <v/>
      </c>
      <c r="I535" s="19">
        <f>G535*I$2</f>
        <v/>
      </c>
      <c r="J535" s="19">
        <f>SUM(G535:I535)</f>
        <v/>
      </c>
      <c r="K535" s="19">
        <f>J535/8</f>
        <v/>
      </c>
      <c r="L535" t="inlineStr">
        <is>
          <t>ASWD-33</t>
        </is>
      </c>
      <c r="M535" t="inlineStr">
        <is>
          <t>F1</t>
        </is>
      </c>
      <c r="N535" t="inlineStr">
        <is>
          <t>M8</t>
        </is>
      </c>
    </row>
    <row r="536" ht="26" customHeight="1">
      <c r="A536" s="21" t="n"/>
      <c r="B536" s="17" t="inlineStr">
        <is>
          <t>F2 - User documentation: manual and release notes</t>
        </is>
      </c>
      <c r="C536" s="17" t="inlineStr">
        <is>
          <t>Write the user manual as a standalone document covering every screen and workflow, against the finished product rather than the design</t>
        </is>
      </c>
      <c r="D536" s="8" t="inlineStr">
        <is>
          <t>Write the user manual as a standalone document covering every screen and workflow, against the finished product rather than the design</t>
        </is>
      </c>
      <c r="E536" s="18" t="n">
        <v>32</v>
      </c>
      <c r="F536" s="19">
        <f>E536*F$2</f>
        <v/>
      </c>
      <c r="G536" s="19">
        <f>SUM(E536:F536)*G$2</f>
        <v/>
      </c>
      <c r="H536" s="19">
        <f>G536*H$2</f>
        <v/>
      </c>
      <c r="I536" s="19">
        <f>G536*I$2</f>
        <v/>
      </c>
      <c r="J536" s="19">
        <f>SUM(G536:I536)</f>
        <v/>
      </c>
      <c r="K536" s="19">
        <f>J536/8</f>
        <v/>
      </c>
      <c r="L536" t="inlineStr">
        <is>
          <t>ASWD-33</t>
        </is>
      </c>
      <c r="M536" t="inlineStr">
        <is>
          <t>F2</t>
        </is>
      </c>
      <c r="N536" t="inlineStr">
        <is>
          <t>M8</t>
        </is>
      </c>
    </row>
    <row r="537" ht="26" customHeight="1">
      <c r="A537" s="21" t="n"/>
      <c r="B537" s="21" t="n"/>
      <c r="C537" s="17" t="inlineStr">
        <is>
          <t>Release notes and the known-issue list</t>
        </is>
      </c>
      <c r="D537" s="8" t="inlineStr">
        <is>
          <t>Release notes and the known-issue list</t>
        </is>
      </c>
      <c r="E537" s="18" t="n">
        <v>16</v>
      </c>
      <c r="F537" s="19">
        <f>E537*F$2</f>
        <v/>
      </c>
      <c r="G537" s="19">
        <f>SUM(E537:F537)*G$2</f>
        <v/>
      </c>
      <c r="H537" s="19">
        <f>G537*H$2</f>
        <v/>
      </c>
      <c r="I537" s="19">
        <f>G537*I$2</f>
        <v/>
      </c>
      <c r="J537" s="19">
        <f>SUM(G537:I537)</f>
        <v/>
      </c>
      <c r="K537" s="19">
        <f>J537/8</f>
        <v/>
      </c>
      <c r="L537" t="inlineStr">
        <is>
          <t>ASWD-33</t>
        </is>
      </c>
      <c r="M537" t="inlineStr">
        <is>
          <t>F2</t>
        </is>
      </c>
      <c r="N537" t="inlineStr">
        <is>
          <t>M8</t>
        </is>
      </c>
    </row>
    <row r="538" ht="26" customHeight="1">
      <c r="A538" s="20" t="n"/>
      <c r="B538" s="20" t="n"/>
      <c r="C538" s="17" t="inlineStr">
        <is>
          <t>Check the user manual against the in-application help from Epic 28 so the two do not disagree — a review of both, no application changes</t>
        </is>
      </c>
      <c r="D538" s="8" t="inlineStr">
        <is>
          <t>Check the user manual against the in-application help from Epic 28 so the two do not disagree — a review of both, no application changes</t>
        </is>
      </c>
      <c r="E538" s="18" t="n">
        <v>24</v>
      </c>
      <c r="F538" s="19">
        <f>E538*F$2</f>
        <v/>
      </c>
      <c r="G538" s="19">
        <f>SUM(E538:F538)*G$2</f>
        <v/>
      </c>
      <c r="H538" s="19">
        <f>G538*H$2</f>
        <v/>
      </c>
      <c r="I538" s="19">
        <f>G538*I$2</f>
        <v/>
      </c>
      <c r="J538" s="19">
        <f>SUM(G538:I538)</f>
        <v/>
      </c>
      <c r="K538" s="19">
        <f>J538/8</f>
        <v/>
      </c>
      <c r="L538" t="inlineStr">
        <is>
          <t>ASWD-33</t>
        </is>
      </c>
      <c r="M538" t="inlineStr">
        <is>
          <t>F2</t>
        </is>
      </c>
      <c r="N538" t="inlineStr">
        <is>
          <t>M8</t>
        </is>
      </c>
    </row>
    <row r="539">
      <c r="A539" s="10" t="n"/>
      <c r="B539" s="10" t="n"/>
      <c r="C539" s="10" t="n"/>
      <c r="D539" s="14" t="inlineStr">
        <is>
          <t>TOTAL</t>
        </is>
      </c>
      <c r="E539" s="22">
        <f>SUM(E3:E538)</f>
        <v/>
      </c>
      <c r="F539" s="15">
        <f>SUM(F3:F538)</f>
        <v/>
      </c>
      <c r="G539" s="15">
        <f>SUM(G3:G538)</f>
        <v/>
      </c>
      <c r="H539" s="15">
        <f>SUM(H3:H538)</f>
        <v/>
      </c>
      <c r="I539" s="15">
        <f>SUM(I3:I538)</f>
        <v/>
      </c>
      <c r="J539" s="15">
        <f>SUM(J3:J538)</f>
        <v/>
      </c>
      <c r="K539" s="15">
        <f>SUM(K3:K538)</f>
        <v/>
      </c>
    </row>
  </sheetData>
  <autoFilter ref="A1:K538"/>
  <mergeCells count="266">
    <mergeCell ref="C409:C411"/>
    <mergeCell ref="B44:B57"/>
    <mergeCell ref="C257:C259"/>
    <mergeCell ref="C328:C330"/>
    <mergeCell ref="C95:C97"/>
    <mergeCell ref="C272:C274"/>
    <mergeCell ref="C442:C444"/>
    <mergeCell ref="B192:B203"/>
    <mergeCell ref="C131:C133"/>
    <mergeCell ref="C331:C333"/>
    <mergeCell ref="B445:B450"/>
    <mergeCell ref="C346:C348"/>
    <mergeCell ref="C502:C504"/>
    <mergeCell ref="B510:B516"/>
    <mergeCell ref="B68:B85"/>
    <mergeCell ref="B243:B253"/>
    <mergeCell ref="A10:A113"/>
    <mergeCell ref="B422:B426"/>
    <mergeCell ref="C38:C40"/>
    <mergeCell ref="B308:B316"/>
    <mergeCell ref="C181:C183"/>
    <mergeCell ref="C13:C15"/>
    <mergeCell ref="C299:C301"/>
    <mergeCell ref="C308:C310"/>
    <mergeCell ref="C379:C380"/>
    <mergeCell ref="C114:C115"/>
    <mergeCell ref="C243:C245"/>
    <mergeCell ref="B178:B186"/>
    <mergeCell ref="B408:B411"/>
    <mergeCell ref="A204:A227"/>
    <mergeCell ref="C481:C483"/>
    <mergeCell ref="C155:C157"/>
    <mergeCell ref="C58:C60"/>
    <mergeCell ref="C89:C91"/>
    <mergeCell ref="C260:C262"/>
    <mergeCell ref="C116:C118"/>
    <mergeCell ref="B58:B67"/>
    <mergeCell ref="C496:C498"/>
    <mergeCell ref="C275:C277"/>
    <mergeCell ref="B116:B121"/>
    <mergeCell ref="C284:C286"/>
    <mergeCell ref="C349:C351"/>
    <mergeCell ref="C231:C233"/>
    <mergeCell ref="B6:B9"/>
    <mergeCell ref="C513:C514"/>
    <mergeCell ref="C520:C522"/>
    <mergeCell ref="B472:B477"/>
    <mergeCell ref="C190:C191"/>
    <mergeCell ref="B533:B535"/>
    <mergeCell ref="A266:A274"/>
    <mergeCell ref="C10:C12"/>
    <mergeCell ref="C35:C37"/>
    <mergeCell ref="C41:C43"/>
    <mergeCell ref="B114:B115"/>
    <mergeCell ref="C50:C52"/>
    <mergeCell ref="C44:C46"/>
    <mergeCell ref="C435:C436"/>
    <mergeCell ref="C448:C450"/>
    <mergeCell ref="B216:B221"/>
    <mergeCell ref="C457:C459"/>
    <mergeCell ref="C510:C512"/>
    <mergeCell ref="B338:B343"/>
    <mergeCell ref="C25:C27"/>
    <mergeCell ref="C425:C426"/>
    <mergeCell ref="C143:C145"/>
    <mergeCell ref="C472:C474"/>
    <mergeCell ref="B355:B369"/>
    <mergeCell ref="B466:B471"/>
    <mergeCell ref="B254:B265"/>
    <mergeCell ref="B396:B398"/>
    <mergeCell ref="C192:C194"/>
    <mergeCell ref="C6:C7"/>
    <mergeCell ref="C311:C313"/>
    <mergeCell ref="C22:C24"/>
    <mergeCell ref="B505:B509"/>
    <mergeCell ref="C207:C209"/>
    <mergeCell ref="B517:B525"/>
    <mergeCell ref="B302:B307"/>
    <mergeCell ref="C4:C5"/>
    <mergeCell ref="C175:C176"/>
    <mergeCell ref="B496:B498"/>
    <mergeCell ref="C492:C494"/>
    <mergeCell ref="B478:B480"/>
    <mergeCell ref="A243:A253"/>
    <mergeCell ref="B187:B191"/>
    <mergeCell ref="C122:C124"/>
    <mergeCell ref="C178:C180"/>
    <mergeCell ref="C240:C242"/>
    <mergeCell ref="C296:C298"/>
    <mergeCell ref="A178:A203"/>
    <mergeCell ref="C112:C113"/>
    <mergeCell ref="B122:B127"/>
    <mergeCell ref="B103:B113"/>
    <mergeCell ref="C106:C108"/>
    <mergeCell ref="A403:A434"/>
    <mergeCell ref="C469:C471"/>
    <mergeCell ref="C125:C127"/>
    <mergeCell ref="C56:C57"/>
    <mergeCell ref="C161:C163"/>
    <mergeCell ref="C376:C378"/>
    <mergeCell ref="C314:C316"/>
    <mergeCell ref="C31:C32"/>
    <mergeCell ref="C437:C439"/>
    <mergeCell ref="B275:B283"/>
    <mergeCell ref="C62:C64"/>
    <mergeCell ref="A134:A177"/>
    <mergeCell ref="B432:B434"/>
    <mergeCell ref="C216:C218"/>
    <mergeCell ref="C98:C100"/>
    <mergeCell ref="C381:C383"/>
    <mergeCell ref="C225:C227"/>
    <mergeCell ref="C338:C340"/>
    <mergeCell ref="C396:C398"/>
    <mergeCell ref="C390:C392"/>
    <mergeCell ref="C234:C236"/>
    <mergeCell ref="C172:C174"/>
    <mergeCell ref="B412:B421"/>
    <mergeCell ref="B481:B484"/>
    <mergeCell ref="C266:C268"/>
    <mergeCell ref="A499:A504"/>
    <mergeCell ref="C393:C395"/>
    <mergeCell ref="A533:A538"/>
    <mergeCell ref="C187:C189"/>
    <mergeCell ref="C445:C447"/>
    <mergeCell ref="C485:C487"/>
    <mergeCell ref="C137:C139"/>
    <mergeCell ref="B228:B239"/>
    <mergeCell ref="C146:C148"/>
    <mergeCell ref="C324:C326"/>
    <mergeCell ref="A435:A471"/>
    <mergeCell ref="C251:C253"/>
    <mergeCell ref="C422:C424"/>
    <mergeCell ref="A254:A265"/>
    <mergeCell ref="A284:A378"/>
    <mergeCell ref="C16:C18"/>
    <mergeCell ref="C463:C465"/>
    <mergeCell ref="B440:B444"/>
    <mergeCell ref="C515:C516"/>
    <mergeCell ref="B317:B326"/>
    <mergeCell ref="B427:B431"/>
    <mergeCell ref="C71:C73"/>
    <mergeCell ref="C101:C102"/>
    <mergeCell ref="C505:C506"/>
    <mergeCell ref="C237:C239"/>
    <mergeCell ref="C119:C121"/>
    <mergeCell ref="A505:A532"/>
    <mergeCell ref="C344:C345"/>
    <mergeCell ref="C213:C215"/>
    <mergeCell ref="C278:C280"/>
    <mergeCell ref="C287:C289"/>
    <mergeCell ref="B134:B163"/>
    <mergeCell ref="B204:B215"/>
    <mergeCell ref="C358:C360"/>
    <mergeCell ref="C370:C372"/>
    <mergeCell ref="C352:C354"/>
    <mergeCell ref="C367:C369"/>
    <mergeCell ref="C414:C416"/>
    <mergeCell ref="C523:C525"/>
    <mergeCell ref="B536:B538"/>
    <mergeCell ref="B381:B395"/>
    <mergeCell ref="B403:B407"/>
    <mergeCell ref="C53:C55"/>
    <mergeCell ref="C158:C160"/>
    <mergeCell ref="B164:B177"/>
    <mergeCell ref="C387:C389"/>
    <mergeCell ref="A6:A9"/>
    <mergeCell ref="B499:B504"/>
    <mergeCell ref="C28:C30"/>
    <mergeCell ref="C86:C88"/>
    <mergeCell ref="C68:C70"/>
    <mergeCell ref="A472:A477"/>
    <mergeCell ref="B284:B301"/>
    <mergeCell ref="B38:B43"/>
    <mergeCell ref="B526:B532"/>
    <mergeCell ref="B266:B274"/>
    <mergeCell ref="C254:C256"/>
    <mergeCell ref="C412:C413"/>
    <mergeCell ref="A114:A127"/>
    <mergeCell ref="C92:C94"/>
    <mergeCell ref="C263:C265"/>
    <mergeCell ref="C499:C501"/>
    <mergeCell ref="C128:C130"/>
    <mergeCell ref="C210:C212"/>
    <mergeCell ref="A4:A5"/>
    <mergeCell ref="C281:C283"/>
    <mergeCell ref="C321:C323"/>
    <mergeCell ref="C373:C375"/>
    <mergeCell ref="C249:C250"/>
    <mergeCell ref="C384:C386"/>
    <mergeCell ref="C420:C421"/>
    <mergeCell ref="B370:B378"/>
    <mergeCell ref="C305:C307"/>
    <mergeCell ref="B10:B30"/>
    <mergeCell ref="C428:C430"/>
    <mergeCell ref="C184:C186"/>
    <mergeCell ref="C451:C453"/>
    <mergeCell ref="B4:B5"/>
    <mergeCell ref="C460:C462"/>
    <mergeCell ref="A275:A283"/>
    <mergeCell ref="A478:A480"/>
    <mergeCell ref="B240:B242"/>
    <mergeCell ref="C170:C171"/>
    <mergeCell ref="C134:C136"/>
    <mergeCell ref="A481:A495"/>
    <mergeCell ref="C364:C366"/>
    <mergeCell ref="C164:C166"/>
    <mergeCell ref="C335:C337"/>
    <mergeCell ref="C440:C441"/>
    <mergeCell ref="C219:C221"/>
    <mergeCell ref="C517:C519"/>
    <mergeCell ref="C228:C230"/>
    <mergeCell ref="C341:C343"/>
    <mergeCell ref="C33:C34"/>
    <mergeCell ref="A228:A242"/>
    <mergeCell ref="C222:C224"/>
    <mergeCell ref="C293:C295"/>
    <mergeCell ref="C355:C357"/>
    <mergeCell ref="C196:C197"/>
    <mergeCell ref="A379:A402"/>
    <mergeCell ref="C77:C79"/>
    <mergeCell ref="C361:C363"/>
    <mergeCell ref="A128:A133"/>
    <mergeCell ref="C405:C407"/>
    <mergeCell ref="C454:C456"/>
    <mergeCell ref="C302:C303"/>
    <mergeCell ref="C140:C142"/>
    <mergeCell ref="C149:C151"/>
    <mergeCell ref="C198:C199"/>
    <mergeCell ref="B86:B91"/>
    <mergeCell ref="A496:A498"/>
    <mergeCell ref="C403:C404"/>
    <mergeCell ref="C19:C21"/>
    <mergeCell ref="B485:B495"/>
    <mergeCell ref="C204:C206"/>
    <mergeCell ref="C317:C319"/>
    <mergeCell ref="B331:B337"/>
    <mergeCell ref="B344:B354"/>
    <mergeCell ref="C269:C271"/>
    <mergeCell ref="B379:B380"/>
    <mergeCell ref="C489:C491"/>
    <mergeCell ref="C74:C76"/>
    <mergeCell ref="B451:B465"/>
    <mergeCell ref="B92:B102"/>
    <mergeCell ref="C83:C85"/>
    <mergeCell ref="C530:C531"/>
    <mergeCell ref="C246:C248"/>
    <mergeCell ref="C417:C419"/>
    <mergeCell ref="C103:C105"/>
    <mergeCell ref="B128:B133"/>
    <mergeCell ref="B435:B439"/>
    <mergeCell ref="C290:C292"/>
    <mergeCell ref="B31:B37"/>
    <mergeCell ref="C466:C468"/>
    <mergeCell ref="C475:C477"/>
    <mergeCell ref="C152:C154"/>
    <mergeCell ref="C65:C67"/>
    <mergeCell ref="C109:C111"/>
    <mergeCell ref="C47:C49"/>
    <mergeCell ref="B399:B402"/>
    <mergeCell ref="C167:C169"/>
    <mergeCell ref="C507:C509"/>
    <mergeCell ref="B222:B227"/>
    <mergeCell ref="C80:C82"/>
    <mergeCell ref="B327:B330"/>
    <mergeCell ref="C400:C402"/>
    <mergeCell ref="C527:C5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2026-09-08T07:08:06Z</dcterms:created>
  <dcterms:modified xmlns:dcterms="http://purl.org/dc/terms/" xmlns:xsi="http://www.w3.org/2001/XMLSchema-instance" xsi:type="dcterms:W3CDTF">2026-09-08T07:08:06Z</dcterms:modified>
</cp:coreProperties>
</file>